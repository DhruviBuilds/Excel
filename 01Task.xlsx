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27AF5A4C-2EEE-454F-962A-07CF1F6180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7" i="1" l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B161" i="1"/>
  <c r="B162" i="1"/>
  <c r="B163" i="1"/>
  <c r="B164" i="1"/>
  <c r="B165" i="1"/>
  <c r="B166" i="1"/>
  <c r="B160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37" i="1"/>
  <c r="H107" i="1"/>
  <c r="H108" i="1"/>
  <c r="H109" i="1"/>
  <c r="H106" i="1"/>
  <c r="G107" i="1"/>
  <c r="G108" i="1"/>
  <c r="G109" i="1"/>
  <c r="G106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C110" i="1"/>
  <c r="D110" i="1"/>
  <c r="E110" i="1"/>
  <c r="F110" i="1"/>
  <c r="B110" i="1"/>
  <c r="F93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87" i="1"/>
  <c r="F92" i="1" s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87" i="1"/>
  <c r="F90" i="1" s="1"/>
  <c r="C9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60" i="1"/>
  <c r="E1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60" i="1"/>
  <c r="F30" i="1"/>
  <c r="F31" i="1"/>
  <c r="F32" i="1"/>
  <c r="F33" i="1"/>
  <c r="F29" i="1"/>
  <c r="C48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4" i="1"/>
  <c r="C35" i="1"/>
  <c r="F35" i="1" s="1"/>
  <c r="C36" i="1"/>
  <c r="F36" i="1" s="1"/>
  <c r="C37" i="1"/>
  <c r="F37" i="1" s="1"/>
  <c r="C38" i="1"/>
  <c r="F38" i="1" s="1"/>
  <c r="C39" i="1"/>
  <c r="F39" i="1" s="1"/>
  <c r="C40" i="1"/>
  <c r="F40" i="1" s="1"/>
  <c r="C41" i="1"/>
  <c r="F41" i="1" s="1"/>
  <c r="C42" i="1"/>
  <c r="F42" i="1" s="1"/>
  <c r="C43" i="1"/>
  <c r="F43" i="1" s="1"/>
  <c r="C44" i="1"/>
  <c r="F44" i="1" s="1"/>
  <c r="C45" i="1"/>
  <c r="F45" i="1" s="1"/>
  <c r="C46" i="1"/>
  <c r="F46" i="1" s="1"/>
  <c r="C47" i="1"/>
  <c r="F47" i="1" s="1"/>
  <c r="C34" i="1"/>
  <c r="F34" i="1" s="1"/>
  <c r="E11" i="1"/>
  <c r="E12" i="1"/>
  <c r="E13" i="1"/>
  <c r="E9" i="1"/>
  <c r="C11" i="1"/>
  <c r="C12" i="1"/>
  <c r="C13" i="1"/>
  <c r="C10" i="1"/>
  <c r="E134" i="1" l="1"/>
  <c r="E135" i="1"/>
  <c r="G110" i="1"/>
  <c r="H110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F89" i="1"/>
  <c r="F88" i="1"/>
  <c r="F87" i="1"/>
  <c r="F86" i="1"/>
  <c r="F59" i="1"/>
  <c r="F60" i="1"/>
  <c r="F57" i="1"/>
  <c r="F58" i="1"/>
  <c r="F48" i="1"/>
</calcChain>
</file>

<file path=xl/sharedStrings.xml><?xml version="1.0" encoding="utf-8"?>
<sst xmlns="http://schemas.openxmlformats.org/spreadsheetml/2006/main" count="282" uniqueCount="182">
  <si>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</si>
  <si>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</si>
  <si>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</si>
  <si>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</si>
  <si>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</si>
  <si>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</si>
  <si>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</si>
  <si>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</si>
  <si>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</si>
  <si>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</si>
  <si>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</si>
  <si>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</si>
  <si>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</si>
  <si>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</si>
  <si>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</si>
  <si>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Management</t>
  </si>
  <si>
    <t>E104</t>
  </si>
  <si>
    <t>Pooja Singh</t>
  </si>
  <si>
    <t>E105</t>
  </si>
  <si>
    <t>Ankit Patel</t>
  </si>
  <si>
    <t>Sales</t>
  </si>
  <si>
    <t>E106</t>
  </si>
  <si>
    <t>Rohit Soni</t>
  </si>
  <si>
    <t>E107</t>
  </si>
  <si>
    <t>Jay Vyas</t>
  </si>
  <si>
    <t>E108</t>
  </si>
  <si>
    <t>Navin Mehta</t>
  </si>
  <si>
    <t>E109</t>
  </si>
  <si>
    <t>Mahesh Jain</t>
  </si>
  <si>
    <t>E110</t>
  </si>
  <si>
    <t>Shubham Jain</t>
  </si>
  <si>
    <t>Task 2: Sales Report – Beautification</t>
  </si>
  <si>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</si>
  <si>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</si>
  <si>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</si>
  <si>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</si>
  <si>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</si>
  <si>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</si>
  <si>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</si>
  <si>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</si>
  <si>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</si>
  <si>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</si>
  <si>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</si>
  <si>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</si>
  <si>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</si>
  <si>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</si>
  <si>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</si>
  <si>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</si>
  <si>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</si>
  <si>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</si>
  <si>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</si>
  <si>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</si>
  <si>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</si>
  <si>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</si>
  <si>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</si>
  <si>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</si>
  <si>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</si>
  <si>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</si>
  <si>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</si>
  <si>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</si>
  <si>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</si>
  <si>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Nilay</t>
  </si>
  <si>
    <t>Sunil</t>
  </si>
  <si>
    <t>Hiren</t>
  </si>
  <si>
    <t>Mihir</t>
  </si>
  <si>
    <t>Bharti</t>
  </si>
  <si>
    <t>Jay</t>
  </si>
  <si>
    <t>Amrat</t>
  </si>
  <si>
    <t>Ram</t>
  </si>
  <si>
    <t>Shyam</t>
  </si>
  <si>
    <t>Balram</t>
  </si>
  <si>
    <t>Sujal</t>
  </si>
  <si>
    <t>Task 4: Sales Summary – Aggregation Functions</t>
  </si>
  <si>
    <t>Invoice No</t>
  </si>
  <si>
    <t>Date</t>
  </si>
  <si>
    <t>INV001</t>
  </si>
  <si>
    <t>INV002</t>
  </si>
  <si>
    <t>INV003</t>
  </si>
  <si>
    <t>TOTAL SALES</t>
  </si>
  <si>
    <t>INV004</t>
  </si>
  <si>
    <t>AVERAGE SALES</t>
  </si>
  <si>
    <t>INV005</t>
  </si>
  <si>
    <t>HIGHESH SALES</t>
  </si>
  <si>
    <t>INV006</t>
  </si>
  <si>
    <t>LOWEST SALES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</si>
  <si>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</si>
  <si>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</si>
  <si>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</si>
  <si>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</si>
  <si>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</si>
  <si>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</si>
  <si>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</si>
  <si>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</si>
  <si>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</si>
  <si>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</si>
  <si>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</si>
  <si>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</si>
  <si>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</si>
  <si>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</si>
  <si>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Task 5: Department-wise Salary Analysis</t>
  </si>
  <si>
    <t>Employee Name</t>
  </si>
  <si>
    <t>Suresh</t>
  </si>
  <si>
    <t>Meena</t>
  </si>
  <si>
    <t>Karan</t>
  </si>
  <si>
    <t>Ritu</t>
  </si>
  <si>
    <t>Aman</t>
  </si>
  <si>
    <t>Total salary per department</t>
  </si>
  <si>
    <t>Neel</t>
  </si>
  <si>
    <t>Raj</t>
  </si>
  <si>
    <t>FINANCE</t>
  </si>
  <si>
    <t>SALES</t>
  </si>
  <si>
    <t>Suraj</t>
  </si>
  <si>
    <t>MANAGEMENT</t>
  </si>
  <si>
    <t>Vishal</t>
  </si>
  <si>
    <t>Average salary</t>
  </si>
  <si>
    <t>Aujla</t>
  </si>
  <si>
    <t>Count employees</t>
  </si>
  <si>
    <t>Krunal</t>
  </si>
  <si>
    <t>Rohit</t>
  </si>
  <si>
    <t>Virat</t>
  </si>
  <si>
    <t>Shreyas</t>
  </si>
  <si>
    <t>Chahal</t>
  </si>
  <si>
    <t>Yuzi</t>
  </si>
  <si>
    <t>Kuldeep</t>
  </si>
  <si>
    <t>Task 6: Attendance Sheet – COUNTIF</t>
  </si>
  <si>
    <t>Day 1</t>
  </si>
  <si>
    <t>Day 2</t>
  </si>
  <si>
    <t>Day 3</t>
  </si>
  <si>
    <t>Day 4</t>
  </si>
  <si>
    <t>Day 5</t>
  </si>
  <si>
    <t>PRESENT DAYS</t>
  </si>
  <si>
    <t>ABSENT DAYS</t>
  </si>
  <si>
    <t>P</t>
  </si>
  <si>
    <t>A</t>
  </si>
  <si>
    <t>Task 7: Sales Count Logic</t>
  </si>
  <si>
    <t>Order ID</t>
  </si>
  <si>
    <t>O101</t>
  </si>
  <si>
    <t>O102</t>
  </si>
  <si>
    <t>O103</t>
  </si>
  <si>
    <t>O104</t>
  </si>
  <si>
    <t>Count sales above 10000</t>
  </si>
  <si>
    <t>O105</t>
  </si>
  <si>
    <t>Count sales below 5000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</si>
  <si>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</si>
  <si>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</si>
  <si>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</si>
  <si>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</si>
  <si>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</si>
  <si>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</si>
  <si>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</si>
  <si>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</si>
  <si>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</si>
  <si>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</si>
  <si>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</si>
  <si>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</si>
  <si>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</si>
  <si>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</si>
  <si>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</si>
  <si>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Task 8: Conditional Formatting – Sales</t>
  </si>
  <si>
    <t>Product</t>
  </si>
  <si>
    <t>Mobile</t>
  </si>
  <si>
    <t>Headphones</t>
  </si>
  <si>
    <t>Laptop</t>
  </si>
  <si>
    <t>Keyboard</t>
  </si>
  <si>
    <t>Tablet</t>
  </si>
  <si>
    <t>Mouse</t>
  </si>
  <si>
    <t>Pendrive</t>
  </si>
  <si>
    <t>Usb Cabel</t>
  </si>
  <si>
    <t>Charger</t>
  </si>
  <si>
    <t>Airpodes</t>
  </si>
  <si>
    <t>Mac</t>
  </si>
  <si>
    <t>iphone</t>
  </si>
  <si>
    <t>Task 9: Student Result Highlight</t>
  </si>
  <si>
    <t>Marks</t>
  </si>
  <si>
    <t>Chetan</t>
  </si>
  <si>
    <t>Deepa</t>
  </si>
  <si>
    <t>Farhan</t>
  </si>
  <si>
    <t>Task 10: Salary Band – Conditional Formatting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</si>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</sst>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71" formatCode="[$₹-447]#,##0"/>
    <numFmt numFmtId="176" formatCode="&quot;₹&quot;\ #,##0"/>
  </numFmts>
  <fonts count="29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sz val="12"/>
      <color rgb="FFF0F6FC"/>
      <name val="Mona Sans VF"/>
      <charset val="1"/>
    </font>
    <font>
      <sz val="12"/>
      <color rgb="FFF0F6FC"/>
      <name val="Mona Sans VF"/>
      <charset val="1"/>
    </font>
    <font>
      <sz val="16"/>
      <color rgb="FFF0F6FC"/>
      <name val="Calibri Light"/>
      <scheme val="major"/>
    </font>
    <font>
      <sz val="11"/>
      <color theme="0"/>
      <name val="Calibri"/>
      <family val="2"/>
      <scheme val="minor"/>
    </font>
    <font>
      <sz val="20"/>
      <color theme="0"/>
      <name val="Calibri Light"/>
      <scheme val="major"/>
    </font>
    <font>
      <b/>
      <sz val="20"/>
      <color theme="7"/>
      <name val="Calibri Light"/>
      <scheme val="major"/>
    </font>
    <font>
      <sz val="16.5"/>
      <color rgb="FFF0F6FC"/>
      <name val="Mona Sans VF"/>
      <charset val="1"/>
    </font>
    <font>
      <b/>
      <sz val="24"/>
      <color rgb="FF000000"/>
      <name val="Calibri Light"/>
      <scheme val="major"/>
    </font>
    <font>
      <b/>
      <u/>
      <sz val="24"/>
      <color rgb="FF000000"/>
      <name val="Calibri Light"/>
      <scheme val="major"/>
    </font>
    <font>
      <sz val="11"/>
      <color theme="1"/>
      <name val="Calibri Light"/>
      <scheme val="major"/>
    </font>
    <font>
      <sz val="24"/>
      <color rgb="FFF0F6FC"/>
      <name val="Calibri Light"/>
      <scheme val="major"/>
    </font>
    <font>
      <sz val="24"/>
      <color theme="1"/>
      <name val="Calibri Light"/>
      <scheme val="major"/>
    </font>
    <font>
      <sz val="24"/>
      <color rgb="FFC65911"/>
      <name val="Calibri"/>
      <scheme val="minor"/>
    </font>
    <font>
      <sz val="14"/>
      <color theme="0"/>
      <name val="Calibri Light"/>
      <scheme val="major"/>
    </font>
    <font>
      <b/>
      <sz val="14"/>
      <color theme="1"/>
      <name val="Calibri Light"/>
      <scheme val="major"/>
    </font>
    <font>
      <sz val="16.5"/>
      <color theme="1"/>
      <name val="Mona Sans VF"/>
      <charset val="1"/>
    </font>
    <font>
      <sz val="12"/>
      <color theme="1"/>
      <name val="Mona Sans VF"/>
      <charset val="1"/>
    </font>
    <font>
      <sz val="12"/>
      <color theme="1"/>
      <name val="Calibri Light"/>
      <scheme val="major"/>
    </font>
    <font>
      <sz val="16"/>
      <color theme="1"/>
      <name val="Calibri Light"/>
      <scheme val="major"/>
    </font>
    <font>
      <sz val="16"/>
      <color theme="1"/>
      <name val="Calibri"/>
      <family val="2"/>
      <scheme val="minor"/>
    </font>
    <font>
      <sz val="16.5"/>
      <color theme="9" tint="0.39997558519241921"/>
      <name val="Mona Sans VF"/>
      <charset val="1"/>
    </font>
    <font>
      <sz val="11"/>
      <color theme="9" tint="0.39997558519241921"/>
      <name val="Calibri"/>
      <family val="2"/>
      <scheme val="minor"/>
    </font>
    <font>
      <sz val="12"/>
      <color theme="0"/>
      <name val="Mona Sans VF"/>
      <charset val="1"/>
    </font>
    <font>
      <sz val="12"/>
      <color theme="0"/>
      <name val="Mona Sans VF"/>
      <charset val="1"/>
    </font>
    <font>
      <sz val="16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5" tint="-0.249977111117893"/>
      <name val="Mona Sans VF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A9FB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3D444D"/>
      </left>
      <right style="thin">
        <color rgb="FF000000"/>
      </right>
      <top style="thin">
        <color rgb="FF3D444D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D444D"/>
      </top>
      <bottom style="thin">
        <color rgb="FF000000"/>
      </bottom>
      <diagonal/>
    </border>
    <border>
      <left style="thin">
        <color rgb="FF000000"/>
      </left>
      <right style="thin">
        <color rgb="FF3D444D"/>
      </right>
      <top style="thin">
        <color rgb="FF3D444D"/>
      </top>
      <bottom style="thin">
        <color rgb="FF000000"/>
      </bottom>
      <diagonal/>
    </border>
    <border>
      <left style="thin">
        <color rgb="FF3D444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D444D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D444D"/>
      </left>
      <right style="thin">
        <color rgb="FF000000"/>
      </right>
      <top style="thin">
        <color rgb="FF000000"/>
      </top>
      <bottom style="thin">
        <color rgb="FF3D444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D444D"/>
      </bottom>
      <diagonal/>
    </border>
    <border>
      <left style="thin">
        <color rgb="FF000000"/>
      </left>
      <right style="thin">
        <color rgb="FF3D444D"/>
      </right>
      <top style="thin">
        <color rgb="FF000000"/>
      </top>
      <bottom style="thin">
        <color rgb="FF3D444D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0">
    <xf numFmtId="0" fontId="0" fillId="0" borderId="0" xfId="0"/>
    <xf numFmtId="0" fontId="4" fillId="2" borderId="2" xfId="0" applyFont="1" applyFill="1" applyBorder="1" applyAlignment="1">
      <alignment wrapText="1"/>
    </xf>
    <xf numFmtId="0" fontId="0" fillId="3" borderId="0" xfId="0" applyFill="1"/>
    <xf numFmtId="0" fontId="5" fillId="3" borderId="0" xfId="0" applyFont="1" applyFill="1"/>
    <xf numFmtId="164" fontId="0" fillId="0" borderId="0" xfId="0" applyNumberFormat="1"/>
    <xf numFmtId="171" fontId="0" fillId="0" borderId="0" xfId="0" applyNumberFormat="1"/>
    <xf numFmtId="0" fontId="7" fillId="3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176" fontId="6" fillId="3" borderId="8" xfId="0" applyNumberFormat="1" applyFont="1" applyFill="1" applyBorder="1" applyAlignment="1">
      <alignment wrapText="1"/>
    </xf>
    <xf numFmtId="14" fontId="6" fillId="3" borderId="9" xfId="0" applyNumberFormat="1" applyFont="1" applyFill="1" applyBorder="1" applyAlignment="1">
      <alignment horizontal="right" wrapText="1"/>
    </xf>
    <xf numFmtId="0" fontId="6" fillId="3" borderId="8" xfId="0" applyFont="1" applyFill="1" applyBorder="1"/>
    <xf numFmtId="176" fontId="6" fillId="3" borderId="8" xfId="0" applyNumberFormat="1" applyFont="1" applyFill="1" applyBorder="1"/>
    <xf numFmtId="14" fontId="6" fillId="3" borderId="9" xfId="0" applyNumberFormat="1" applyFont="1" applyFill="1" applyBorder="1"/>
    <xf numFmtId="0" fontId="6" fillId="3" borderId="11" xfId="0" applyFont="1" applyFill="1" applyBorder="1"/>
    <xf numFmtId="176" fontId="6" fillId="3" borderId="11" xfId="0" applyNumberFormat="1" applyFont="1" applyFill="1" applyBorder="1"/>
    <xf numFmtId="14" fontId="6" fillId="3" borderId="12" xfId="0" applyNumberFormat="1" applyFont="1" applyFill="1" applyBorder="1"/>
    <xf numFmtId="0" fontId="8" fillId="3" borderId="0" xfId="0" applyFont="1" applyFill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12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/>
    </xf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4" borderId="2" xfId="0" applyFont="1" applyFill="1" applyBorder="1" applyAlignment="1">
      <alignment wrapText="1"/>
    </xf>
    <xf numFmtId="176" fontId="15" fillId="4" borderId="2" xfId="0" applyNumberFormat="1" applyFont="1" applyFill="1" applyBorder="1" applyAlignment="1">
      <alignment wrapText="1"/>
    </xf>
    <xf numFmtId="0" fontId="16" fillId="4" borderId="2" xfId="0" applyFont="1" applyFill="1" applyBorder="1" applyAlignment="1">
      <alignment wrapText="1"/>
    </xf>
    <xf numFmtId="0" fontId="17" fillId="5" borderId="0" xfId="0" applyFont="1" applyFill="1" applyAlignment="1">
      <alignment horizontal="center" wrapText="1"/>
    </xf>
    <xf numFmtId="0" fontId="0" fillId="5" borderId="0" xfId="0" applyFont="1" applyFill="1" applyAlignment="1">
      <alignment horizontal="center"/>
    </xf>
    <xf numFmtId="0" fontId="20" fillId="6" borderId="7" xfId="0" applyFont="1" applyFill="1" applyBorder="1" applyAlignment="1">
      <alignment wrapText="1"/>
    </xf>
    <xf numFmtId="0" fontId="20" fillId="6" borderId="8" xfId="0" applyFont="1" applyFill="1" applyBorder="1" applyAlignment="1">
      <alignment wrapText="1"/>
    </xf>
    <xf numFmtId="0" fontId="21" fillId="6" borderId="7" xfId="0" applyFont="1" applyFill="1" applyBorder="1"/>
    <xf numFmtId="0" fontId="21" fillId="6" borderId="8" xfId="0" applyFont="1" applyFill="1" applyBorder="1"/>
    <xf numFmtId="0" fontId="21" fillId="6" borderId="10" xfId="0" applyFont="1" applyFill="1" applyBorder="1"/>
    <xf numFmtId="0" fontId="21" fillId="6" borderId="11" xfId="0" applyFont="1" applyFill="1" applyBorder="1"/>
    <xf numFmtId="0" fontId="1" fillId="0" borderId="1" xfId="1" applyFill="1" applyAlignment="1">
      <alignment horizontal="center" wrapText="1"/>
    </xf>
    <xf numFmtId="10" fontId="20" fillId="6" borderId="9" xfId="0" applyNumberFormat="1" applyFont="1" applyFill="1" applyBorder="1" applyAlignment="1">
      <alignment wrapText="1"/>
    </xf>
    <xf numFmtId="0" fontId="22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18" fillId="8" borderId="13" xfId="0" applyFont="1" applyFill="1" applyBorder="1" applyAlignment="1">
      <alignment wrapText="1"/>
    </xf>
    <xf numFmtId="0" fontId="18" fillId="8" borderId="14" xfId="0" applyFont="1" applyFill="1" applyBorder="1" applyAlignment="1">
      <alignment wrapText="1"/>
    </xf>
    <xf numFmtId="0" fontId="18" fillId="8" borderId="15" xfId="0" applyFont="1" applyFill="1" applyBorder="1" applyAlignment="1">
      <alignment wrapText="1"/>
    </xf>
    <xf numFmtId="0" fontId="19" fillId="8" borderId="16" xfId="0" applyFont="1" applyFill="1" applyBorder="1" applyAlignment="1">
      <alignment horizontal="center" wrapText="1"/>
    </xf>
    <xf numFmtId="14" fontId="19" fillId="8" borderId="8" xfId="0" applyNumberFormat="1" applyFont="1" applyFill="1" applyBorder="1" applyAlignment="1">
      <alignment horizontal="center" wrapText="1"/>
    </xf>
    <xf numFmtId="0" fontId="19" fillId="8" borderId="17" xfId="0" applyFont="1" applyFill="1" applyBorder="1" applyAlignment="1">
      <alignment horizontal="center" wrapText="1"/>
    </xf>
    <xf numFmtId="0" fontId="11" fillId="8" borderId="18" xfId="0" applyFont="1" applyFill="1" applyBorder="1" applyAlignment="1">
      <alignment horizontal="center"/>
    </xf>
    <xf numFmtId="14" fontId="11" fillId="8" borderId="8" xfId="0" applyNumberFormat="1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14" fontId="11" fillId="8" borderId="21" xfId="0" applyNumberFormat="1" applyFont="1" applyFill="1" applyBorder="1" applyAlignment="1">
      <alignment horizontal="center"/>
    </xf>
    <xf numFmtId="0" fontId="11" fillId="8" borderId="22" xfId="0" applyFont="1" applyFill="1" applyBorder="1" applyAlignment="1">
      <alignment horizontal="center"/>
    </xf>
    <xf numFmtId="0" fontId="17" fillId="3" borderId="0" xfId="0" applyFont="1" applyFill="1" applyAlignment="1">
      <alignment horizontal="center" wrapText="1"/>
    </xf>
    <xf numFmtId="0" fontId="0" fillId="3" borderId="0" xfId="0" applyFont="1" applyFill="1" applyAlignment="1">
      <alignment horizontal="center"/>
    </xf>
    <xf numFmtId="0" fontId="24" fillId="2" borderId="23" xfId="0" applyFont="1" applyFill="1" applyBorder="1" applyAlignment="1">
      <alignment wrapText="1"/>
    </xf>
    <xf numFmtId="0" fontId="24" fillId="2" borderId="24" xfId="0" applyFont="1" applyFill="1" applyBorder="1" applyAlignment="1">
      <alignment wrapText="1"/>
    </xf>
    <xf numFmtId="0" fontId="24" fillId="2" borderId="25" xfId="0" applyFont="1" applyFill="1" applyBorder="1" applyAlignment="1">
      <alignment wrapText="1"/>
    </xf>
    <xf numFmtId="0" fontId="25" fillId="2" borderId="2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/>
    <xf numFmtId="0" fontId="8" fillId="9" borderId="0" xfId="0" applyFont="1" applyFill="1" applyAlignment="1">
      <alignment horizontal="center" wrapText="1"/>
    </xf>
    <xf numFmtId="0" fontId="0" fillId="9" borderId="0" xfId="0" applyFill="1" applyAlignment="1">
      <alignment horizontal="center"/>
    </xf>
    <xf numFmtId="0" fontId="26" fillId="3" borderId="8" xfId="0" applyFont="1" applyFill="1" applyBorder="1"/>
    <xf numFmtId="0" fontId="5" fillId="3" borderId="8" xfId="0" applyFont="1" applyFill="1" applyBorder="1"/>
    <xf numFmtId="0" fontId="26" fillId="3" borderId="27" xfId="0" applyFont="1" applyFill="1" applyBorder="1"/>
    <xf numFmtId="0" fontId="26" fillId="3" borderId="28" xfId="0" applyFont="1" applyFill="1" applyBorder="1"/>
    <xf numFmtId="0" fontId="5" fillId="3" borderId="19" xfId="0" applyFont="1" applyFill="1" applyBorder="1"/>
    <xf numFmtId="0" fontId="24" fillId="3" borderId="8" xfId="0" applyFont="1" applyFill="1" applyBorder="1" applyAlignment="1">
      <alignment wrapText="1"/>
    </xf>
    <xf numFmtId="0" fontId="25" fillId="3" borderId="8" xfId="0" applyFont="1" applyFill="1" applyBorder="1" applyAlignment="1">
      <alignment wrapText="1"/>
    </xf>
    <xf numFmtId="0" fontId="5" fillId="3" borderId="18" xfId="0" applyFont="1" applyFill="1" applyBorder="1"/>
    <xf numFmtId="0" fontId="26" fillId="3" borderId="29" xfId="0" applyFont="1" applyFill="1" applyBorder="1"/>
    <xf numFmtId="0" fontId="5" fillId="3" borderId="30" xfId="0" applyFont="1" applyFill="1" applyBorder="1"/>
    <xf numFmtId="0" fontId="5" fillId="3" borderId="31" xfId="0" applyFont="1" applyFill="1" applyBorder="1"/>
    <xf numFmtId="0" fontId="8" fillId="10" borderId="0" xfId="0" applyFont="1" applyFill="1" applyAlignment="1">
      <alignment horizontal="center" wrapText="1"/>
    </xf>
    <xf numFmtId="0" fontId="0" fillId="10" borderId="0" xfId="0" applyFill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/>
    </xf>
    <xf numFmtId="0" fontId="27" fillId="0" borderId="0" xfId="0" applyFont="1"/>
    <xf numFmtId="0" fontId="28" fillId="3" borderId="8" xfId="0" applyFont="1" applyFill="1" applyBorder="1" applyAlignment="1">
      <alignment horizontal="center" wrapText="1"/>
    </xf>
  </cellXfs>
  <cellStyles count="2">
    <cellStyle name="Heading 1" xfId="1" builtinId="16"/>
    <cellStyle name="Normal" xfId="0" builtinId="0"/>
  </cellStyles>
  <dxfs count="8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5A9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7"/>
  <sheetViews>
    <sheetView tabSelected="1" topLeftCell="A197" workbookViewId="0">
      <selection activeCell="B198" sqref="B198:B217"/>
    </sheetView>
  </sheetViews>
  <sheetFormatPr defaultRowHeight="15"/>
  <cols>
    <col min="1" max="1" width="25.85546875" customWidth="1"/>
    <col min="2" max="2" width="30.28515625" customWidth="1"/>
    <col min="3" max="3" width="22.5703125" customWidth="1"/>
    <col min="4" max="4" width="20.85546875" customWidth="1"/>
    <col min="5" max="5" width="24.28515625" customWidth="1"/>
    <col min="6" max="6" width="18.85546875" customWidth="1"/>
    <col min="7" max="7" width="23.5703125" customWidth="1"/>
    <col min="8" max="8" width="14.5703125" customWidth="1"/>
    <col min="10" max="10" width="19" customWidth="1"/>
  </cols>
  <sheetData>
    <row r="2" spans="1:10" ht="74.25" customHeight="1">
      <c r="A2" s="20" t="s">
        <v>0</v>
      </c>
      <c r="B2" s="19"/>
      <c r="C2" s="19"/>
      <c r="D2" s="19"/>
      <c r="E2" s="19"/>
    </row>
    <row r="3" spans="1:10" ht="86.25">
      <c r="A3" s="6" t="s">
        <v>1</v>
      </c>
      <c r="B3" s="7" t="s">
        <v>2</v>
      </c>
      <c r="C3" s="7" t="s">
        <v>3</v>
      </c>
      <c r="D3" s="7" t="s">
        <v>4</v>
      </c>
      <c r="E3" s="8" t="s">
        <v>5</v>
      </c>
    </row>
    <row r="4" spans="1:10" ht="28.5">
      <c r="A4" s="21" t="s">
        <v>6</v>
      </c>
      <c r="B4" s="9" t="s">
        <v>7</v>
      </c>
      <c r="C4" s="23" t="s">
        <v>8</v>
      </c>
      <c r="D4" s="10">
        <v>32000</v>
      </c>
      <c r="E4" s="11">
        <v>44896</v>
      </c>
      <c r="J4" s="1" t="s">
        <v>8</v>
      </c>
    </row>
    <row r="5" spans="1:10" ht="28.5">
      <c r="A5" s="21" t="s">
        <v>9</v>
      </c>
      <c r="B5" s="9" t="s">
        <v>10</v>
      </c>
      <c r="C5" s="23" t="s">
        <v>11</v>
      </c>
      <c r="D5" s="10">
        <v>45000</v>
      </c>
      <c r="E5" s="11">
        <v>44319</v>
      </c>
      <c r="J5" s="1" t="s">
        <v>11</v>
      </c>
    </row>
    <row r="6" spans="1:10" ht="28.5">
      <c r="A6" s="21" t="s">
        <v>12</v>
      </c>
      <c r="B6" s="9" t="s">
        <v>13</v>
      </c>
      <c r="C6" s="23" t="s">
        <v>14</v>
      </c>
      <c r="D6" s="10">
        <v>38000</v>
      </c>
      <c r="E6" s="11">
        <v>44111</v>
      </c>
      <c r="G6" s="4"/>
      <c r="J6" s="1" t="s">
        <v>15</v>
      </c>
    </row>
    <row r="7" spans="1:10" ht="28.5">
      <c r="A7" s="21" t="s">
        <v>16</v>
      </c>
      <c r="B7" s="9" t="s">
        <v>17</v>
      </c>
      <c r="C7" s="23" t="s">
        <v>11</v>
      </c>
      <c r="D7" s="10">
        <v>52000</v>
      </c>
      <c r="E7" s="11">
        <v>43749</v>
      </c>
      <c r="J7" s="1" t="s">
        <v>14</v>
      </c>
    </row>
    <row r="8" spans="1:10" ht="28.5">
      <c r="A8" s="21" t="s">
        <v>18</v>
      </c>
      <c r="B8" s="9" t="s">
        <v>19</v>
      </c>
      <c r="C8" s="23" t="s">
        <v>20</v>
      </c>
      <c r="D8" s="10">
        <v>30000</v>
      </c>
      <c r="E8" s="11">
        <v>45236</v>
      </c>
      <c r="J8" s="1" t="s">
        <v>20</v>
      </c>
    </row>
    <row r="9" spans="1:10" ht="28.5">
      <c r="A9" s="21" t="s">
        <v>21</v>
      </c>
      <c r="B9" s="12" t="s">
        <v>22</v>
      </c>
      <c r="C9" s="24" t="str">
        <f ca="1">CHOOSE(RANDBETWEEN(1,5),$J$4,$J$5,$J$6,$J$7,$J$8)</f>
        <v>Sales</v>
      </c>
      <c r="D9" s="13">
        <v>60000</v>
      </c>
      <c r="E9" s="14">
        <f ca="1">RANDBETWEEN(DATE(2005,1,1),DATE(2025,12,31))</f>
        <v>41552</v>
      </c>
    </row>
    <row r="10" spans="1:10" ht="28.5">
      <c r="A10" s="21" t="s">
        <v>23</v>
      </c>
      <c r="B10" s="12" t="s">
        <v>24</v>
      </c>
      <c r="C10" s="23" t="str">
        <f ca="1">CHOOSE(RANDBETWEEN(1,5),$J$4,$J$5,$J$6,$J$7,$J$8)</f>
        <v>HR</v>
      </c>
      <c r="D10" s="13">
        <v>45000</v>
      </c>
      <c r="E10" s="14">
        <f ca="1">RANDBETWEEN(DATE(2005,1,1),DATE(2025,12,31))</f>
        <v>42701</v>
      </c>
      <c r="H10" s="5"/>
    </row>
    <row r="11" spans="1:10" ht="28.5">
      <c r="A11" s="21" t="s">
        <v>25</v>
      </c>
      <c r="B11" s="12" t="s">
        <v>26</v>
      </c>
      <c r="C11" s="23" t="str">
        <f t="shared" ref="C11:C13" ca="1" si="0">CHOOSE(RANDBETWEEN(1,5),$J$4,$J$5,$J$6,$J$7,$J$8)</f>
        <v>Finance</v>
      </c>
      <c r="D11" s="13">
        <v>70000</v>
      </c>
      <c r="E11" s="14">
        <f t="shared" ref="E10:E13" ca="1" si="1">RANDBETWEEN(DATE(2005,1,1),DATE(2025,12,31))</f>
        <v>40482</v>
      </c>
    </row>
    <row r="12" spans="1:10" ht="28.5">
      <c r="A12" s="21" t="s">
        <v>27</v>
      </c>
      <c r="B12" s="12" t="s">
        <v>28</v>
      </c>
      <c r="C12" s="23" t="str">
        <f t="shared" ca="1" si="0"/>
        <v>HR</v>
      </c>
      <c r="D12" s="13">
        <v>65000</v>
      </c>
      <c r="E12" s="14">
        <f t="shared" ca="1" si="1"/>
        <v>39781</v>
      </c>
    </row>
    <row r="13" spans="1:10" ht="28.5">
      <c r="A13" s="22" t="s">
        <v>29</v>
      </c>
      <c r="B13" s="15" t="s">
        <v>30</v>
      </c>
      <c r="C13" s="25" t="str">
        <f t="shared" ca="1" si="0"/>
        <v>Finance</v>
      </c>
      <c r="D13" s="16">
        <v>40000</v>
      </c>
      <c r="E13" s="17">
        <f t="shared" ca="1" si="1"/>
        <v>45672</v>
      </c>
      <c r="H13" s="4"/>
    </row>
    <row r="16" spans="1:10" ht="36" customHeight="1">
      <c r="A16" s="27" t="s">
        <v>31</v>
      </c>
      <c r="B16" s="28"/>
      <c r="C16" s="28"/>
      <c r="D16" s="28"/>
      <c r="E16" s="28"/>
      <c r="F16" s="2"/>
    </row>
    <row r="17" spans="1:6" ht="31.5">
      <c r="B17" s="32" t="s">
        <v>32</v>
      </c>
      <c r="C17" s="31"/>
    </row>
    <row r="19" spans="1:6" ht="41.25">
      <c r="A19" s="35" t="s">
        <v>33</v>
      </c>
      <c r="B19" s="35" t="s">
        <v>34</v>
      </c>
      <c r="C19" s="35" t="s">
        <v>35</v>
      </c>
      <c r="D19" s="35" t="s">
        <v>36</v>
      </c>
    </row>
    <row r="20" spans="1:6" ht="41.25">
      <c r="A20" s="33" t="s">
        <v>37</v>
      </c>
      <c r="B20" s="33" t="s">
        <v>38</v>
      </c>
      <c r="C20" s="34">
        <v>45000</v>
      </c>
      <c r="D20" s="33" t="s">
        <v>39</v>
      </c>
    </row>
    <row r="21" spans="1:6" ht="20.25">
      <c r="A21" s="33" t="s">
        <v>40</v>
      </c>
      <c r="B21" s="33" t="s">
        <v>41</v>
      </c>
      <c r="C21" s="34">
        <v>1200</v>
      </c>
      <c r="D21" s="33" t="s">
        <v>42</v>
      </c>
    </row>
    <row r="22" spans="1:6" ht="41.25">
      <c r="A22" s="33" t="s">
        <v>43</v>
      </c>
      <c r="B22" s="33" t="s">
        <v>44</v>
      </c>
      <c r="C22" s="34">
        <v>18000</v>
      </c>
      <c r="D22" s="33" t="s">
        <v>45</v>
      </c>
    </row>
    <row r="23" spans="1:6" ht="41.25">
      <c r="A23" s="33" t="s">
        <v>46</v>
      </c>
      <c r="B23" s="33" t="s">
        <v>47</v>
      </c>
      <c r="C23" s="34">
        <v>62000</v>
      </c>
      <c r="D23" s="33" t="s">
        <v>48</v>
      </c>
    </row>
    <row r="26" spans="1:6" ht="33" customHeight="1">
      <c r="A26" s="36" t="s">
        <v>49</v>
      </c>
      <c r="B26" s="37"/>
      <c r="C26" s="37"/>
      <c r="D26" s="37"/>
    </row>
    <row r="28" spans="1:6" ht="19.5">
      <c r="A28" s="44" t="s">
        <v>50</v>
      </c>
      <c r="B28" s="44" t="s">
        <v>51</v>
      </c>
      <c r="C28" s="44" t="s">
        <v>52</v>
      </c>
      <c r="D28" s="44" t="s">
        <v>53</v>
      </c>
      <c r="E28" s="44" t="s">
        <v>54</v>
      </c>
      <c r="F28" s="44" t="s">
        <v>55</v>
      </c>
    </row>
    <row r="29" spans="1:6" ht="22.5">
      <c r="A29" s="38">
        <v>1</v>
      </c>
      <c r="B29" s="39" t="s">
        <v>56</v>
      </c>
      <c r="C29" s="39">
        <v>78</v>
      </c>
      <c r="D29" s="39">
        <v>82</v>
      </c>
      <c r="E29" s="39">
        <v>74</v>
      </c>
      <c r="F29" s="45">
        <f>(C29+D29+E29)/300</f>
        <v>0.78</v>
      </c>
    </row>
    <row r="30" spans="1:6" ht="22.5">
      <c r="A30" s="38">
        <v>2</v>
      </c>
      <c r="B30" s="39" t="s">
        <v>57</v>
      </c>
      <c r="C30" s="39">
        <v>65</v>
      </c>
      <c r="D30" s="39">
        <v>70</v>
      </c>
      <c r="E30" s="39">
        <v>68</v>
      </c>
      <c r="F30" s="45">
        <f t="shared" ref="F30:F48" si="2">(C30+D30+E30)/300</f>
        <v>0.67666666666666664</v>
      </c>
    </row>
    <row r="31" spans="1:6" ht="22.5">
      <c r="A31" s="38">
        <v>3</v>
      </c>
      <c r="B31" s="39" t="s">
        <v>58</v>
      </c>
      <c r="C31" s="39">
        <v>90</v>
      </c>
      <c r="D31" s="39">
        <v>88</v>
      </c>
      <c r="E31" s="39">
        <v>92</v>
      </c>
      <c r="F31" s="45">
        <f t="shared" si="2"/>
        <v>0.9</v>
      </c>
    </row>
    <row r="32" spans="1:6" ht="22.5">
      <c r="A32" s="38">
        <v>4</v>
      </c>
      <c r="B32" s="39" t="s">
        <v>59</v>
      </c>
      <c r="C32" s="39">
        <v>35</v>
      </c>
      <c r="D32" s="39">
        <v>40</v>
      </c>
      <c r="E32" s="39">
        <v>38</v>
      </c>
      <c r="F32" s="45">
        <f t="shared" si="2"/>
        <v>0.37666666666666665</v>
      </c>
    </row>
    <row r="33" spans="1:6" ht="22.5">
      <c r="A33" s="38">
        <v>5</v>
      </c>
      <c r="B33" s="39" t="s">
        <v>60</v>
      </c>
      <c r="C33" s="39">
        <v>55</v>
      </c>
      <c r="D33" s="39">
        <v>60</v>
      </c>
      <c r="E33" s="39">
        <v>58</v>
      </c>
      <c r="F33" s="45">
        <f t="shared" si="2"/>
        <v>0.57666666666666666</v>
      </c>
    </row>
    <row r="34" spans="1:6" ht="21">
      <c r="A34" s="40">
        <v>6</v>
      </c>
      <c r="B34" s="41" t="s">
        <v>13</v>
      </c>
      <c r="C34" s="41">
        <f ca="1">RANDBETWEEN(1,100)</f>
        <v>23</v>
      </c>
      <c r="D34" s="41">
        <f ca="1">RANDBETWEEN(1,100)</f>
        <v>2</v>
      </c>
      <c r="E34" s="41">
        <f ca="1">RANDBETWEEN(1,100)</f>
        <v>55</v>
      </c>
      <c r="F34" s="45">
        <f t="shared" ca="1" si="2"/>
        <v>0.26666666666666666</v>
      </c>
    </row>
    <row r="35" spans="1:6" ht="21">
      <c r="A35" s="40">
        <v>7</v>
      </c>
      <c r="B35" s="41" t="s">
        <v>61</v>
      </c>
      <c r="C35" s="41">
        <f t="shared" ref="C35:E48" ca="1" si="3">RANDBETWEEN(1,100)</f>
        <v>31</v>
      </c>
      <c r="D35" s="41">
        <f t="shared" ca="1" si="3"/>
        <v>29</v>
      </c>
      <c r="E35" s="41">
        <f t="shared" ca="1" si="3"/>
        <v>11</v>
      </c>
      <c r="F35" s="45">
        <f t="shared" ca="1" si="2"/>
        <v>0.23666666666666666</v>
      </c>
    </row>
    <row r="36" spans="1:6" ht="21">
      <c r="A36" s="40">
        <v>8</v>
      </c>
      <c r="B36" s="41" t="s">
        <v>7</v>
      </c>
      <c r="C36" s="41">
        <f t="shared" ca="1" si="3"/>
        <v>3</v>
      </c>
      <c r="D36" s="41">
        <f t="shared" ca="1" si="3"/>
        <v>13</v>
      </c>
      <c r="E36" s="41">
        <f t="shared" ca="1" si="3"/>
        <v>17</v>
      </c>
      <c r="F36" s="45">
        <f t="shared" ca="1" si="2"/>
        <v>0.11</v>
      </c>
    </row>
    <row r="37" spans="1:6" ht="21">
      <c r="A37" s="40">
        <v>9</v>
      </c>
      <c r="B37" s="41" t="s">
        <v>24</v>
      </c>
      <c r="C37" s="41">
        <f t="shared" ca="1" si="3"/>
        <v>21</v>
      </c>
      <c r="D37" s="41">
        <f t="shared" ca="1" si="3"/>
        <v>49</v>
      </c>
      <c r="E37" s="41">
        <f t="shared" ca="1" si="3"/>
        <v>30</v>
      </c>
      <c r="F37" s="45">
        <f t="shared" ca="1" si="2"/>
        <v>0.33333333333333331</v>
      </c>
    </row>
    <row r="38" spans="1:6" ht="21">
      <c r="A38" s="40">
        <v>10</v>
      </c>
      <c r="B38" s="41" t="s">
        <v>62</v>
      </c>
      <c r="C38" s="41">
        <f t="shared" ca="1" si="3"/>
        <v>71</v>
      </c>
      <c r="D38" s="41">
        <f t="shared" ca="1" si="3"/>
        <v>42</v>
      </c>
      <c r="E38" s="41">
        <f t="shared" ca="1" si="3"/>
        <v>97</v>
      </c>
      <c r="F38" s="45">
        <f t="shared" ca="1" si="2"/>
        <v>0.7</v>
      </c>
    </row>
    <row r="39" spans="1:6" ht="21">
      <c r="A39" s="40">
        <v>11</v>
      </c>
      <c r="B39" s="41" t="s">
        <v>63</v>
      </c>
      <c r="C39" s="41">
        <f t="shared" ca="1" si="3"/>
        <v>31</v>
      </c>
      <c r="D39" s="41">
        <f t="shared" ca="1" si="3"/>
        <v>19</v>
      </c>
      <c r="E39" s="41">
        <f t="shared" ca="1" si="3"/>
        <v>72</v>
      </c>
      <c r="F39" s="45">
        <f t="shared" ca="1" si="2"/>
        <v>0.40666666666666668</v>
      </c>
    </row>
    <row r="40" spans="1:6" ht="21">
      <c r="A40" s="40">
        <v>12</v>
      </c>
      <c r="B40" s="41" t="s">
        <v>64</v>
      </c>
      <c r="C40" s="41">
        <f t="shared" ca="1" si="3"/>
        <v>39</v>
      </c>
      <c r="D40" s="41">
        <f t="shared" ca="1" si="3"/>
        <v>67</v>
      </c>
      <c r="E40" s="41">
        <f t="shared" ca="1" si="3"/>
        <v>19</v>
      </c>
      <c r="F40" s="45">
        <f t="shared" ca="1" si="2"/>
        <v>0.41666666666666669</v>
      </c>
    </row>
    <row r="41" spans="1:6" ht="21">
      <c r="A41" s="40">
        <v>13</v>
      </c>
      <c r="B41" s="41" t="s">
        <v>65</v>
      </c>
      <c r="C41" s="41">
        <f t="shared" ca="1" si="3"/>
        <v>60</v>
      </c>
      <c r="D41" s="41">
        <f t="shared" ca="1" si="3"/>
        <v>33</v>
      </c>
      <c r="E41" s="41">
        <f t="shared" ca="1" si="3"/>
        <v>79</v>
      </c>
      <c r="F41" s="45">
        <f t="shared" ca="1" si="2"/>
        <v>0.57333333333333336</v>
      </c>
    </row>
    <row r="42" spans="1:6" ht="21">
      <c r="A42" s="40">
        <v>14</v>
      </c>
      <c r="B42" s="41" t="s">
        <v>58</v>
      </c>
      <c r="C42" s="41">
        <f t="shared" ca="1" si="3"/>
        <v>45</v>
      </c>
      <c r="D42" s="41">
        <f t="shared" ca="1" si="3"/>
        <v>99</v>
      </c>
      <c r="E42" s="41">
        <f t="shared" ca="1" si="3"/>
        <v>43</v>
      </c>
      <c r="F42" s="45">
        <f t="shared" ca="1" si="2"/>
        <v>0.62333333333333329</v>
      </c>
    </row>
    <row r="43" spans="1:6" ht="21">
      <c r="A43" s="40">
        <v>15</v>
      </c>
      <c r="B43" s="41" t="s">
        <v>66</v>
      </c>
      <c r="C43" s="41">
        <f t="shared" ca="1" si="3"/>
        <v>34</v>
      </c>
      <c r="D43" s="41">
        <f t="shared" ca="1" si="3"/>
        <v>44</v>
      </c>
      <c r="E43" s="41">
        <f t="shared" ca="1" si="3"/>
        <v>6</v>
      </c>
      <c r="F43" s="45">
        <f t="shared" ca="1" si="2"/>
        <v>0.28000000000000003</v>
      </c>
    </row>
    <row r="44" spans="1:6" ht="21">
      <c r="A44" s="40">
        <v>16</v>
      </c>
      <c r="B44" s="41" t="s">
        <v>67</v>
      </c>
      <c r="C44" s="41">
        <f t="shared" ca="1" si="3"/>
        <v>73</v>
      </c>
      <c r="D44" s="41">
        <f t="shared" ca="1" si="3"/>
        <v>40</v>
      </c>
      <c r="E44" s="41">
        <f t="shared" ca="1" si="3"/>
        <v>64</v>
      </c>
      <c r="F44" s="45">
        <f t="shared" ca="1" si="2"/>
        <v>0.59</v>
      </c>
    </row>
    <row r="45" spans="1:6" ht="21">
      <c r="A45" s="40">
        <v>17</v>
      </c>
      <c r="B45" s="41" t="s">
        <v>68</v>
      </c>
      <c r="C45" s="41">
        <f t="shared" ca="1" si="3"/>
        <v>66</v>
      </c>
      <c r="D45" s="41">
        <f t="shared" ca="1" si="3"/>
        <v>77</v>
      </c>
      <c r="E45" s="41">
        <f t="shared" ca="1" si="3"/>
        <v>88</v>
      </c>
      <c r="F45" s="45">
        <f t="shared" ca="1" si="2"/>
        <v>0.77</v>
      </c>
    </row>
    <row r="46" spans="1:6" ht="21">
      <c r="A46" s="40">
        <v>18</v>
      </c>
      <c r="B46" s="41" t="s">
        <v>69</v>
      </c>
      <c r="C46" s="41">
        <f t="shared" ca="1" si="3"/>
        <v>54</v>
      </c>
      <c r="D46" s="41">
        <f t="shared" ca="1" si="3"/>
        <v>25</v>
      </c>
      <c r="E46" s="41">
        <f t="shared" ca="1" si="3"/>
        <v>25</v>
      </c>
      <c r="F46" s="45">
        <f t="shared" ca="1" si="2"/>
        <v>0.34666666666666668</v>
      </c>
    </row>
    <row r="47" spans="1:6" ht="21">
      <c r="A47" s="40">
        <v>19</v>
      </c>
      <c r="B47" s="41" t="s">
        <v>70</v>
      </c>
      <c r="C47" s="41">
        <f t="shared" ca="1" si="3"/>
        <v>20</v>
      </c>
      <c r="D47" s="41">
        <f t="shared" ca="1" si="3"/>
        <v>15</v>
      </c>
      <c r="E47" s="41">
        <f t="shared" ca="1" si="3"/>
        <v>52</v>
      </c>
      <c r="F47" s="45">
        <f t="shared" ca="1" si="2"/>
        <v>0.28999999999999998</v>
      </c>
    </row>
    <row r="48" spans="1:6" ht="21">
      <c r="A48" s="42">
        <v>20</v>
      </c>
      <c r="B48" s="43" t="s">
        <v>71</v>
      </c>
      <c r="C48" s="43">
        <f t="shared" ca="1" si="3"/>
        <v>36</v>
      </c>
      <c r="D48" s="43">
        <f t="shared" ca="1" si="3"/>
        <v>33</v>
      </c>
      <c r="E48" s="43">
        <f t="shared" ca="1" si="3"/>
        <v>87</v>
      </c>
      <c r="F48" s="45">
        <f t="shared" ca="1" si="2"/>
        <v>0.52</v>
      </c>
    </row>
    <row r="51" spans="1:6" ht="26.25" customHeight="1">
      <c r="A51" s="46" t="s">
        <v>72</v>
      </c>
      <c r="B51" s="47"/>
      <c r="C51" s="47"/>
      <c r="D51" s="47"/>
    </row>
    <row r="54" spans="1:6" ht="16.5">
      <c r="A54" s="48" t="s">
        <v>73</v>
      </c>
      <c r="B54" s="49" t="s">
        <v>74</v>
      </c>
      <c r="C54" s="50" t="s">
        <v>35</v>
      </c>
    </row>
    <row r="55" spans="1:6" ht="17.25">
      <c r="A55" s="51" t="s">
        <v>75</v>
      </c>
      <c r="B55" s="52">
        <v>45292</v>
      </c>
      <c r="C55" s="53">
        <v>12000</v>
      </c>
    </row>
    <row r="56" spans="1:6" ht="17.25">
      <c r="A56" s="51" t="s">
        <v>76</v>
      </c>
      <c r="B56" s="52">
        <v>45352</v>
      </c>
      <c r="C56" s="53">
        <v>25000</v>
      </c>
    </row>
    <row r="57" spans="1:6" ht="17.25">
      <c r="A57" s="51" t="s">
        <v>77</v>
      </c>
      <c r="B57" s="52">
        <v>45413</v>
      </c>
      <c r="C57" s="53">
        <v>8000</v>
      </c>
      <c r="E57" s="2" t="s">
        <v>78</v>
      </c>
      <c r="F57" s="2">
        <f ca="1">SUM(C55:C74)</f>
        <v>1032929</v>
      </c>
    </row>
    <row r="58" spans="1:6" ht="17.25">
      <c r="A58" s="51" t="s">
        <v>79</v>
      </c>
      <c r="B58" s="52">
        <v>45505</v>
      </c>
      <c r="C58" s="53">
        <v>32000</v>
      </c>
      <c r="E58" s="2" t="s">
        <v>80</v>
      </c>
      <c r="F58" s="2">
        <f ca="1">AVERAGE(C55:C74)</f>
        <v>51646.45</v>
      </c>
    </row>
    <row r="59" spans="1:6" ht="17.25">
      <c r="A59" s="51" t="s">
        <v>81</v>
      </c>
      <c r="B59" s="52">
        <v>45566</v>
      </c>
      <c r="C59" s="53">
        <v>15000</v>
      </c>
      <c r="E59" s="2" t="s">
        <v>82</v>
      </c>
      <c r="F59" s="2">
        <f ca="1">MAX(C55:C74)</f>
        <v>99550</v>
      </c>
    </row>
    <row r="60" spans="1:6">
      <c r="A60" s="54" t="s">
        <v>83</v>
      </c>
      <c r="B60" s="55">
        <f ca="1">RANDBETWEEN(DATE(2005,1,1),DATE(2025,12,1))</f>
        <v>45613</v>
      </c>
      <c r="C60" s="56">
        <f ca="1">RANDBETWEEN(1000,100000)</f>
        <v>25131</v>
      </c>
      <c r="E60" s="2" t="s">
        <v>84</v>
      </c>
      <c r="F60" s="2">
        <f ca="1">MIN(C55:C74)</f>
        <v>5343</v>
      </c>
    </row>
    <row r="61" spans="1:6">
      <c r="A61" s="54" t="s">
        <v>85</v>
      </c>
      <c r="B61" s="55">
        <f t="shared" ref="B61:B74" ca="1" si="4">RANDBETWEEN(DATE(2005,1,1),DATE(2025,12,1))</f>
        <v>41831</v>
      </c>
      <c r="C61" s="56">
        <f t="shared" ref="C61:C74" ca="1" si="5">RANDBETWEEN(1000,100000)</f>
        <v>84581</v>
      </c>
    </row>
    <row r="62" spans="1:6">
      <c r="A62" s="54" t="s">
        <v>86</v>
      </c>
      <c r="B62" s="55">
        <f t="shared" ca="1" si="4"/>
        <v>39344</v>
      </c>
      <c r="C62" s="56">
        <f t="shared" ca="1" si="5"/>
        <v>90159</v>
      </c>
    </row>
    <row r="63" spans="1:6">
      <c r="A63" s="54" t="s">
        <v>87</v>
      </c>
      <c r="B63" s="55">
        <f t="shared" ca="1" si="4"/>
        <v>42664</v>
      </c>
      <c r="C63" s="56">
        <f t="shared" ca="1" si="5"/>
        <v>37485</v>
      </c>
    </row>
    <row r="64" spans="1:6">
      <c r="A64" s="54" t="s">
        <v>88</v>
      </c>
      <c r="B64" s="55">
        <f t="shared" ca="1" si="4"/>
        <v>43583</v>
      </c>
      <c r="C64" s="56">
        <f t="shared" ca="1" si="5"/>
        <v>51402</v>
      </c>
    </row>
    <row r="65" spans="1:3">
      <c r="A65" s="54" t="s">
        <v>89</v>
      </c>
      <c r="B65" s="55">
        <f t="shared" ca="1" si="4"/>
        <v>43532</v>
      </c>
      <c r="C65" s="56">
        <f t="shared" ca="1" si="5"/>
        <v>78139</v>
      </c>
    </row>
    <row r="66" spans="1:3">
      <c r="A66" s="54" t="s">
        <v>90</v>
      </c>
      <c r="B66" s="55">
        <f t="shared" ca="1" si="4"/>
        <v>42965</v>
      </c>
      <c r="C66" s="56">
        <f t="shared" ca="1" si="5"/>
        <v>46818</v>
      </c>
    </row>
    <row r="67" spans="1:3">
      <c r="A67" s="54" t="s">
        <v>91</v>
      </c>
      <c r="B67" s="55">
        <f t="shared" ca="1" si="4"/>
        <v>39325</v>
      </c>
      <c r="C67" s="56">
        <f t="shared" ca="1" si="5"/>
        <v>99550</v>
      </c>
    </row>
    <row r="68" spans="1:3">
      <c r="A68" s="54" t="s">
        <v>92</v>
      </c>
      <c r="B68" s="55">
        <f t="shared" ca="1" si="4"/>
        <v>38786</v>
      </c>
      <c r="C68" s="56">
        <f t="shared" ca="1" si="5"/>
        <v>94353</v>
      </c>
    </row>
    <row r="69" spans="1:3">
      <c r="A69" s="54" t="s">
        <v>93</v>
      </c>
      <c r="B69" s="55">
        <f t="shared" ca="1" si="4"/>
        <v>42590</v>
      </c>
      <c r="C69" s="56">
        <f t="shared" ca="1" si="5"/>
        <v>97835</v>
      </c>
    </row>
    <row r="70" spans="1:3">
      <c r="A70" s="54" t="s">
        <v>94</v>
      </c>
      <c r="B70" s="55">
        <f t="shared" ca="1" si="4"/>
        <v>40887</v>
      </c>
      <c r="C70" s="56">
        <f t="shared" ca="1" si="5"/>
        <v>5343</v>
      </c>
    </row>
    <row r="71" spans="1:3">
      <c r="A71" s="54" t="s">
        <v>95</v>
      </c>
      <c r="B71" s="55">
        <f t="shared" ca="1" si="4"/>
        <v>43094</v>
      </c>
      <c r="C71" s="56">
        <f t="shared" ca="1" si="5"/>
        <v>94630</v>
      </c>
    </row>
    <row r="72" spans="1:3">
      <c r="A72" s="54" t="s">
        <v>96</v>
      </c>
      <c r="B72" s="55">
        <f t="shared" ca="1" si="4"/>
        <v>38672</v>
      </c>
      <c r="C72" s="56">
        <f t="shared" ca="1" si="5"/>
        <v>6710</v>
      </c>
    </row>
    <row r="73" spans="1:3">
      <c r="A73" s="54" t="s">
        <v>97</v>
      </c>
      <c r="B73" s="55">
        <f t="shared" ca="1" si="4"/>
        <v>43666</v>
      </c>
      <c r="C73" s="56">
        <f t="shared" ca="1" si="5"/>
        <v>80571</v>
      </c>
    </row>
    <row r="74" spans="1:3">
      <c r="A74" s="57" t="s">
        <v>98</v>
      </c>
      <c r="B74" s="58">
        <f t="shared" ca="1" si="4"/>
        <v>44386</v>
      </c>
      <c r="C74" s="59">
        <f t="shared" ca="1" si="5"/>
        <v>48222</v>
      </c>
    </row>
    <row r="77" spans="1:3" ht="27.75" customHeight="1">
      <c r="A77" s="60" t="s">
        <v>99</v>
      </c>
      <c r="B77" s="61"/>
      <c r="C77" s="61"/>
    </row>
    <row r="80" spans="1:3" ht="11.25" customHeight="1">
      <c r="A80" s="62" t="s">
        <v>100</v>
      </c>
      <c r="B80" s="63" t="s">
        <v>3</v>
      </c>
      <c r="C80" s="64" t="s">
        <v>4</v>
      </c>
    </row>
    <row r="81" spans="1:6" ht="21.75" customHeight="1">
      <c r="A81" s="65" t="s">
        <v>101</v>
      </c>
      <c r="B81" s="65" t="s">
        <v>8</v>
      </c>
      <c r="C81" s="65">
        <v>28000</v>
      </c>
    </row>
    <row r="82" spans="1:6" ht="18" customHeight="1">
      <c r="A82" s="65" t="s">
        <v>102</v>
      </c>
      <c r="B82" s="65" t="s">
        <v>11</v>
      </c>
      <c r="C82" s="65">
        <v>45000</v>
      </c>
    </row>
    <row r="83" spans="1:6" ht="18" customHeight="1">
      <c r="A83" s="65" t="s">
        <v>103</v>
      </c>
      <c r="B83" s="65" t="s">
        <v>11</v>
      </c>
      <c r="C83" s="65">
        <v>50000</v>
      </c>
    </row>
    <row r="84" spans="1:6" ht="17.25">
      <c r="A84" s="65" t="s">
        <v>104</v>
      </c>
      <c r="B84" s="65" t="s">
        <v>14</v>
      </c>
      <c r="C84" s="65">
        <v>42000</v>
      </c>
    </row>
    <row r="85" spans="1:6" ht="17.25">
      <c r="A85" s="65" t="s">
        <v>105</v>
      </c>
      <c r="B85" s="65" t="s">
        <v>8</v>
      </c>
      <c r="C85" s="65">
        <v>30000</v>
      </c>
      <c r="E85" s="69" t="s">
        <v>106</v>
      </c>
    </row>
    <row r="86" spans="1:6" ht="17.25">
      <c r="A86" s="65" t="s">
        <v>107</v>
      </c>
      <c r="B86" s="65" t="s">
        <v>14</v>
      </c>
      <c r="C86" s="65">
        <v>38000</v>
      </c>
      <c r="E86" t="s">
        <v>8</v>
      </c>
      <c r="F86">
        <f ca="1">SUMIF(B81:B100,"HR",C81:C100)</f>
        <v>93571</v>
      </c>
    </row>
    <row r="87" spans="1:6">
      <c r="A87" s="66" t="s">
        <v>105</v>
      </c>
      <c r="B87" s="66" t="str">
        <f ca="1">CHOOSE(RANDBETWEEN(1,5),$J$4,$J$5,$J$6,$J$7,$J$8)</f>
        <v>HR</v>
      </c>
      <c r="C87" s="66">
        <f ca="1">RANDBETWEEN(15000,95000)</f>
        <v>35571</v>
      </c>
      <c r="E87" t="s">
        <v>11</v>
      </c>
      <c r="F87">
        <f ca="1">SUMIF(B81:B100,"IT",C81:C100)</f>
        <v>348377</v>
      </c>
    </row>
    <row r="88" spans="1:6">
      <c r="A88" s="66" t="s">
        <v>108</v>
      </c>
      <c r="B88" s="66" t="str">
        <f t="shared" ref="B88:B100" ca="1" si="6">CHOOSE(RANDBETWEEN(1,5),$J$4,$J$5,$J$6,$J$7,$J$8)</f>
        <v>IT</v>
      </c>
      <c r="C88" s="66">
        <f t="shared" ref="C88:C100" ca="1" si="7">RANDBETWEEN(15000,95000)</f>
        <v>58353</v>
      </c>
      <c r="E88" t="s">
        <v>109</v>
      </c>
      <c r="F88">
        <f ca="1">SUMIF(B81:B100,"FINANCE",C81:C100)</f>
        <v>340155</v>
      </c>
    </row>
    <row r="89" spans="1:6">
      <c r="A89" s="66" t="s">
        <v>66</v>
      </c>
      <c r="B89" s="66" t="str">
        <f t="shared" ca="1" si="6"/>
        <v>Finance</v>
      </c>
      <c r="C89" s="66">
        <f t="shared" ca="1" si="7"/>
        <v>17183</v>
      </c>
      <c r="E89" t="s">
        <v>110</v>
      </c>
      <c r="F89">
        <f ca="1">SUMIF(B81:B100,"SALES",C81:C100)</f>
        <v>71846</v>
      </c>
    </row>
    <row r="90" spans="1:6">
      <c r="A90" s="66" t="s">
        <v>111</v>
      </c>
      <c r="B90" s="66" t="str">
        <f t="shared" ca="1" si="6"/>
        <v>IT</v>
      </c>
      <c r="C90" s="66">
        <f t="shared" ca="1" si="7"/>
        <v>69060</v>
      </c>
      <c r="E90" t="s">
        <v>112</v>
      </c>
      <c r="F90">
        <f ca="1">SUMIF(B81:B100,"MANAGEMENT",C81:C100)</f>
        <v>120887</v>
      </c>
    </row>
    <row r="91" spans="1:6">
      <c r="A91" s="66" t="s">
        <v>113</v>
      </c>
      <c r="B91" s="66" t="str">
        <f t="shared" ca="1" si="6"/>
        <v>Finance</v>
      </c>
      <c r="C91" s="66">
        <f t="shared" ca="1" si="7"/>
        <v>78156</v>
      </c>
    </row>
    <row r="92" spans="1:6" ht="17.25">
      <c r="A92" s="66" t="s">
        <v>103</v>
      </c>
      <c r="B92" s="66" t="str">
        <f t="shared" ca="1" si="6"/>
        <v>IT</v>
      </c>
      <c r="C92" s="66">
        <f t="shared" ca="1" si="7"/>
        <v>51951</v>
      </c>
      <c r="E92" s="68" t="s">
        <v>114</v>
      </c>
      <c r="F92">
        <f ca="1">AVERAGE(C81:C100)</f>
        <v>48741.8</v>
      </c>
    </row>
    <row r="93" spans="1:6" ht="17.25">
      <c r="A93" s="66" t="s">
        <v>115</v>
      </c>
      <c r="B93" s="66" t="str">
        <f t="shared" ca="1" si="6"/>
        <v>Finance</v>
      </c>
      <c r="C93" s="66">
        <f t="shared" ca="1" si="7"/>
        <v>67751</v>
      </c>
      <c r="E93" s="68" t="s">
        <v>116</v>
      </c>
      <c r="F93">
        <f>COUNTA(A81:A100)</f>
        <v>20</v>
      </c>
    </row>
    <row r="94" spans="1:6">
      <c r="A94" s="66" t="s">
        <v>117</v>
      </c>
      <c r="B94" s="66" t="str">
        <f t="shared" ca="1" si="6"/>
        <v>Management</v>
      </c>
      <c r="C94" s="66">
        <f t="shared" ca="1" si="7"/>
        <v>59546</v>
      </c>
    </row>
    <row r="95" spans="1:6">
      <c r="A95" s="66" t="s">
        <v>118</v>
      </c>
      <c r="B95" s="66" t="str">
        <f t="shared" ca="1" si="6"/>
        <v>Sales</v>
      </c>
      <c r="C95" s="66">
        <f t="shared" ca="1" si="7"/>
        <v>25402</v>
      </c>
    </row>
    <row r="96" spans="1:6">
      <c r="A96" s="66" t="s">
        <v>119</v>
      </c>
      <c r="B96" s="66" t="str">
        <f t="shared" ca="1" si="6"/>
        <v>Finance</v>
      </c>
      <c r="C96" s="66">
        <f t="shared" ca="1" si="7"/>
        <v>25053</v>
      </c>
    </row>
    <row r="97" spans="1:8">
      <c r="A97" s="66" t="s">
        <v>120</v>
      </c>
      <c r="B97" s="66" t="str">
        <f t="shared" ca="1" si="6"/>
        <v>Management</v>
      </c>
      <c r="C97" s="66">
        <f t="shared" ca="1" si="7"/>
        <v>61341</v>
      </c>
    </row>
    <row r="98" spans="1:8">
      <c r="A98" s="66" t="s">
        <v>121</v>
      </c>
      <c r="B98" s="66" t="str">
        <f t="shared" ca="1" si="6"/>
        <v>IT</v>
      </c>
      <c r="C98" s="66">
        <f t="shared" ca="1" si="7"/>
        <v>74013</v>
      </c>
    </row>
    <row r="99" spans="1:8">
      <c r="A99" s="66" t="s">
        <v>122</v>
      </c>
      <c r="B99" s="66" t="str">
        <f t="shared" ca="1" si="6"/>
        <v>Finance</v>
      </c>
      <c r="C99" s="66">
        <f t="shared" ca="1" si="7"/>
        <v>72012</v>
      </c>
    </row>
    <row r="100" spans="1:8">
      <c r="A100" s="67" t="s">
        <v>123</v>
      </c>
      <c r="B100" s="67" t="str">
        <f t="shared" ca="1" si="6"/>
        <v>Sales</v>
      </c>
      <c r="C100" s="67">
        <f t="shared" ca="1" si="7"/>
        <v>46444</v>
      </c>
    </row>
    <row r="103" spans="1:8" ht="24" customHeight="1">
      <c r="A103" s="70" t="s">
        <v>124</v>
      </c>
      <c r="B103" s="71"/>
      <c r="C103" s="71"/>
      <c r="D103" s="71"/>
    </row>
    <row r="105" spans="1:8" ht="16.5">
      <c r="A105" s="77" t="s">
        <v>51</v>
      </c>
      <c r="B105" s="77" t="s">
        <v>125</v>
      </c>
      <c r="C105" s="77" t="s">
        <v>126</v>
      </c>
      <c r="D105" s="77" t="s">
        <v>127</v>
      </c>
      <c r="E105" s="77" t="s">
        <v>128</v>
      </c>
      <c r="F105" s="77" t="s">
        <v>129</v>
      </c>
      <c r="G105" s="79" t="s">
        <v>130</v>
      </c>
      <c r="H105" s="73" t="s">
        <v>131</v>
      </c>
    </row>
    <row r="106" spans="1:8" ht="17.25">
      <c r="A106" s="78" t="s">
        <v>56</v>
      </c>
      <c r="B106" s="78" t="s">
        <v>132</v>
      </c>
      <c r="C106" s="78" t="s">
        <v>133</v>
      </c>
      <c r="D106" s="78" t="s">
        <v>132</v>
      </c>
      <c r="E106" s="78" t="s">
        <v>132</v>
      </c>
      <c r="F106" s="78" t="s">
        <v>132</v>
      </c>
      <c r="G106" s="79">
        <f>COUNTIF(B106:F106,"P")</f>
        <v>4</v>
      </c>
      <c r="H106" s="73">
        <f>COUNTIF(B106:F106,"A")</f>
        <v>1</v>
      </c>
    </row>
    <row r="107" spans="1:8" ht="17.25">
      <c r="A107" s="78" t="s">
        <v>57</v>
      </c>
      <c r="B107" s="78" t="s">
        <v>132</v>
      </c>
      <c r="C107" s="78" t="s">
        <v>132</v>
      </c>
      <c r="D107" s="78" t="s">
        <v>132</v>
      </c>
      <c r="E107" s="78" t="s">
        <v>133</v>
      </c>
      <c r="F107" s="78" t="s">
        <v>132</v>
      </c>
      <c r="G107" s="79">
        <f t="shared" ref="G107:G124" si="8">COUNTIF(B107:F107,"P")</f>
        <v>4</v>
      </c>
      <c r="H107" s="73">
        <f t="shared" ref="H107:H124" si="9">COUNTIF(B107:F107,"A")</f>
        <v>1</v>
      </c>
    </row>
    <row r="108" spans="1:8" ht="17.25">
      <c r="A108" s="78" t="s">
        <v>58</v>
      </c>
      <c r="B108" s="78" t="s">
        <v>133</v>
      </c>
      <c r="C108" s="78" t="s">
        <v>132</v>
      </c>
      <c r="D108" s="78" t="s">
        <v>132</v>
      </c>
      <c r="E108" s="78" t="s">
        <v>132</v>
      </c>
      <c r="F108" s="78" t="s">
        <v>132</v>
      </c>
      <c r="G108" s="79">
        <f t="shared" si="8"/>
        <v>4</v>
      </c>
      <c r="H108" s="73">
        <f t="shared" si="9"/>
        <v>1</v>
      </c>
    </row>
    <row r="109" spans="1:8" ht="17.25">
      <c r="A109" s="78" t="s">
        <v>59</v>
      </c>
      <c r="B109" s="78" t="s">
        <v>132</v>
      </c>
      <c r="C109" s="78" t="s">
        <v>133</v>
      </c>
      <c r="D109" s="78" t="s">
        <v>133</v>
      </c>
      <c r="E109" s="78" t="s">
        <v>132</v>
      </c>
      <c r="F109" s="78" t="s">
        <v>133</v>
      </c>
      <c r="G109" s="79">
        <f t="shared" si="8"/>
        <v>2</v>
      </c>
      <c r="H109" s="73">
        <f t="shared" si="9"/>
        <v>3</v>
      </c>
    </row>
    <row r="110" spans="1:8" ht="21">
      <c r="A110" s="80" t="s">
        <v>13</v>
      </c>
      <c r="B110" s="81" t="str">
        <f ca="1">CHOOSE(RANDBETWEEN(1,2),"P","A")</f>
        <v>A</v>
      </c>
      <c r="C110" s="81" t="str">
        <f t="shared" ref="C110:F124" ca="1" si="10">CHOOSE(RANDBETWEEN(1,2),"P","A")</f>
        <v>A</v>
      </c>
      <c r="D110" s="81" t="str">
        <f t="shared" ca="1" si="10"/>
        <v>A</v>
      </c>
      <c r="E110" s="81" t="str">
        <f t="shared" ca="1" si="10"/>
        <v>A</v>
      </c>
      <c r="F110" s="82" t="str">
        <f t="shared" ca="1" si="10"/>
        <v>P</v>
      </c>
      <c r="G110" s="73">
        <f t="shared" ca="1" si="8"/>
        <v>1</v>
      </c>
      <c r="H110" s="73">
        <f t="shared" ca="1" si="9"/>
        <v>4</v>
      </c>
    </row>
    <row r="111" spans="1:8" ht="21">
      <c r="A111" s="74" t="s">
        <v>61</v>
      </c>
      <c r="B111" s="73" t="str">
        <f t="shared" ref="B111:B124" ca="1" si="11">CHOOSE(RANDBETWEEN(1,2),"P","A")</f>
        <v>A</v>
      </c>
      <c r="C111" s="73" t="str">
        <f t="shared" ca="1" si="10"/>
        <v>A</v>
      </c>
      <c r="D111" s="73" t="str">
        <f t="shared" ca="1" si="10"/>
        <v>A</v>
      </c>
      <c r="E111" s="73" t="str">
        <f t="shared" ca="1" si="10"/>
        <v>P</v>
      </c>
      <c r="F111" s="76" t="str">
        <f t="shared" ca="1" si="10"/>
        <v>A</v>
      </c>
      <c r="G111" s="73">
        <f t="shared" ca="1" si="8"/>
        <v>1</v>
      </c>
      <c r="H111" s="73">
        <f t="shared" ca="1" si="9"/>
        <v>4</v>
      </c>
    </row>
    <row r="112" spans="1:8" ht="21">
      <c r="A112" s="74" t="s">
        <v>7</v>
      </c>
      <c r="B112" s="73" t="str">
        <f t="shared" ca="1" si="11"/>
        <v>P</v>
      </c>
      <c r="C112" s="73" t="str">
        <f t="shared" ca="1" si="10"/>
        <v>A</v>
      </c>
      <c r="D112" s="73" t="str">
        <f t="shared" ca="1" si="10"/>
        <v>A</v>
      </c>
      <c r="E112" s="73" t="str">
        <f t="shared" ca="1" si="10"/>
        <v>P</v>
      </c>
      <c r="F112" s="76" t="str">
        <f t="shared" ca="1" si="10"/>
        <v>A</v>
      </c>
      <c r="G112" s="73">
        <f t="shared" ca="1" si="8"/>
        <v>2</v>
      </c>
      <c r="H112" s="73">
        <f t="shared" ca="1" si="9"/>
        <v>3</v>
      </c>
    </row>
    <row r="113" spans="1:8" ht="21">
      <c r="A113" s="74" t="s">
        <v>24</v>
      </c>
      <c r="B113" s="73" t="str">
        <f t="shared" ca="1" si="11"/>
        <v>A</v>
      </c>
      <c r="C113" s="73" t="str">
        <f t="shared" ca="1" si="10"/>
        <v>P</v>
      </c>
      <c r="D113" s="73" t="str">
        <f t="shared" ca="1" si="10"/>
        <v>P</v>
      </c>
      <c r="E113" s="73" t="str">
        <f t="shared" ca="1" si="10"/>
        <v>P</v>
      </c>
      <c r="F113" s="76" t="str">
        <f t="shared" ca="1" si="10"/>
        <v>P</v>
      </c>
      <c r="G113" s="73">
        <f t="shared" ca="1" si="8"/>
        <v>4</v>
      </c>
      <c r="H113" s="73">
        <f t="shared" ca="1" si="9"/>
        <v>1</v>
      </c>
    </row>
    <row r="114" spans="1:8" ht="21">
      <c r="A114" s="74" t="s">
        <v>62</v>
      </c>
      <c r="B114" s="73" t="str">
        <f t="shared" ca="1" si="11"/>
        <v>A</v>
      </c>
      <c r="C114" s="73" t="str">
        <f t="shared" ca="1" si="10"/>
        <v>P</v>
      </c>
      <c r="D114" s="73" t="str">
        <f t="shared" ca="1" si="10"/>
        <v>P</v>
      </c>
      <c r="E114" s="73" t="str">
        <f t="shared" ca="1" si="10"/>
        <v>A</v>
      </c>
      <c r="F114" s="76" t="str">
        <f t="shared" ca="1" si="10"/>
        <v>P</v>
      </c>
      <c r="G114" s="73">
        <f t="shared" ca="1" si="8"/>
        <v>3</v>
      </c>
      <c r="H114" s="73">
        <f t="shared" ca="1" si="9"/>
        <v>2</v>
      </c>
    </row>
    <row r="115" spans="1:8" ht="21">
      <c r="A115" s="74" t="s">
        <v>63</v>
      </c>
      <c r="B115" s="73" t="str">
        <f t="shared" ca="1" si="11"/>
        <v>P</v>
      </c>
      <c r="C115" s="73" t="str">
        <f t="shared" ca="1" si="10"/>
        <v>P</v>
      </c>
      <c r="D115" s="73" t="str">
        <f t="shared" ca="1" si="10"/>
        <v>P</v>
      </c>
      <c r="E115" s="73" t="str">
        <f t="shared" ca="1" si="10"/>
        <v>P</v>
      </c>
      <c r="F115" s="76" t="str">
        <f t="shared" ca="1" si="10"/>
        <v>A</v>
      </c>
      <c r="G115" s="73">
        <f t="shared" ca="1" si="8"/>
        <v>4</v>
      </c>
      <c r="H115" s="73">
        <f t="shared" ca="1" si="9"/>
        <v>1</v>
      </c>
    </row>
    <row r="116" spans="1:8" ht="21">
      <c r="A116" s="74" t="s">
        <v>64</v>
      </c>
      <c r="B116" s="73" t="str">
        <f t="shared" ca="1" si="11"/>
        <v>P</v>
      </c>
      <c r="C116" s="73" t="str">
        <f t="shared" ca="1" si="10"/>
        <v>P</v>
      </c>
      <c r="D116" s="73" t="str">
        <f t="shared" ca="1" si="10"/>
        <v>A</v>
      </c>
      <c r="E116" s="73" t="str">
        <f t="shared" ca="1" si="10"/>
        <v>P</v>
      </c>
      <c r="F116" s="76" t="str">
        <f t="shared" ca="1" si="10"/>
        <v>A</v>
      </c>
      <c r="G116" s="73">
        <f t="shared" ca="1" si="8"/>
        <v>3</v>
      </c>
      <c r="H116" s="73">
        <f t="shared" ca="1" si="9"/>
        <v>2</v>
      </c>
    </row>
    <row r="117" spans="1:8" ht="21">
      <c r="A117" s="74" t="s">
        <v>65</v>
      </c>
      <c r="B117" s="73" t="str">
        <f t="shared" ca="1" si="11"/>
        <v>P</v>
      </c>
      <c r="C117" s="73" t="str">
        <f t="shared" ca="1" si="10"/>
        <v>A</v>
      </c>
      <c r="D117" s="73" t="str">
        <f t="shared" ca="1" si="10"/>
        <v>A</v>
      </c>
      <c r="E117" s="73" t="str">
        <f t="shared" ca="1" si="10"/>
        <v>P</v>
      </c>
      <c r="F117" s="76" t="str">
        <f t="shared" ca="1" si="10"/>
        <v>A</v>
      </c>
      <c r="G117" s="73">
        <f t="shared" ca="1" si="8"/>
        <v>2</v>
      </c>
      <c r="H117" s="73">
        <f t="shared" ca="1" si="9"/>
        <v>3</v>
      </c>
    </row>
    <row r="118" spans="1:8" ht="21">
      <c r="A118" s="74" t="s">
        <v>58</v>
      </c>
      <c r="B118" s="73" t="str">
        <f t="shared" ca="1" si="11"/>
        <v>P</v>
      </c>
      <c r="C118" s="73" t="str">
        <f t="shared" ca="1" si="10"/>
        <v>A</v>
      </c>
      <c r="D118" s="73" t="str">
        <f t="shared" ca="1" si="10"/>
        <v>P</v>
      </c>
      <c r="E118" s="73" t="str">
        <f t="shared" ca="1" si="10"/>
        <v>P</v>
      </c>
      <c r="F118" s="76" t="str">
        <f t="shared" ca="1" si="10"/>
        <v>A</v>
      </c>
      <c r="G118" s="73">
        <f t="shared" ca="1" si="8"/>
        <v>3</v>
      </c>
      <c r="H118" s="73">
        <f t="shared" ca="1" si="9"/>
        <v>2</v>
      </c>
    </row>
    <row r="119" spans="1:8" ht="21">
      <c r="A119" s="74" t="s">
        <v>66</v>
      </c>
      <c r="B119" s="73" t="str">
        <f t="shared" ca="1" si="11"/>
        <v>P</v>
      </c>
      <c r="C119" s="73" t="str">
        <f t="shared" ca="1" si="10"/>
        <v>P</v>
      </c>
      <c r="D119" s="73" t="str">
        <f t="shared" ca="1" si="10"/>
        <v>P</v>
      </c>
      <c r="E119" s="73" t="str">
        <f t="shared" ca="1" si="10"/>
        <v>P</v>
      </c>
      <c r="F119" s="76" t="str">
        <f t="shared" ca="1" si="10"/>
        <v>P</v>
      </c>
      <c r="G119" s="73">
        <f t="shared" ca="1" si="8"/>
        <v>5</v>
      </c>
      <c r="H119" s="73">
        <f t="shared" ca="1" si="9"/>
        <v>0</v>
      </c>
    </row>
    <row r="120" spans="1:8" ht="21">
      <c r="A120" s="74" t="s">
        <v>67</v>
      </c>
      <c r="B120" s="73" t="str">
        <f t="shared" ca="1" si="11"/>
        <v>P</v>
      </c>
      <c r="C120" s="73" t="str">
        <f t="shared" ca="1" si="10"/>
        <v>A</v>
      </c>
      <c r="D120" s="73" t="str">
        <f t="shared" ca="1" si="10"/>
        <v>P</v>
      </c>
      <c r="E120" s="73" t="str">
        <f t="shared" ca="1" si="10"/>
        <v>A</v>
      </c>
      <c r="F120" s="76" t="str">
        <f t="shared" ca="1" si="10"/>
        <v>A</v>
      </c>
      <c r="G120" s="73">
        <f t="shared" ca="1" si="8"/>
        <v>2</v>
      </c>
      <c r="H120" s="73">
        <f t="shared" ca="1" si="9"/>
        <v>3</v>
      </c>
    </row>
    <row r="121" spans="1:8" ht="21">
      <c r="A121" s="74" t="s">
        <v>68</v>
      </c>
      <c r="B121" s="73" t="str">
        <f t="shared" ca="1" si="11"/>
        <v>A</v>
      </c>
      <c r="C121" s="73" t="str">
        <f t="shared" ca="1" si="10"/>
        <v>A</v>
      </c>
      <c r="D121" s="73" t="str">
        <f t="shared" ca="1" si="10"/>
        <v>P</v>
      </c>
      <c r="E121" s="73" t="str">
        <f t="shared" ca="1" si="10"/>
        <v>A</v>
      </c>
      <c r="F121" s="76" t="str">
        <f t="shared" ca="1" si="10"/>
        <v>P</v>
      </c>
      <c r="G121" s="73">
        <f t="shared" ca="1" si="8"/>
        <v>2</v>
      </c>
      <c r="H121" s="73">
        <f t="shared" ca="1" si="9"/>
        <v>3</v>
      </c>
    </row>
    <row r="122" spans="1:8" ht="21">
      <c r="A122" s="74" t="s">
        <v>69</v>
      </c>
      <c r="B122" s="73" t="str">
        <f t="shared" ca="1" si="11"/>
        <v>A</v>
      </c>
      <c r="C122" s="73" t="str">
        <f t="shared" ca="1" si="10"/>
        <v>P</v>
      </c>
      <c r="D122" s="73" t="str">
        <f t="shared" ca="1" si="10"/>
        <v>P</v>
      </c>
      <c r="E122" s="73" t="str">
        <f t="shared" ca="1" si="10"/>
        <v>P</v>
      </c>
      <c r="F122" s="76" t="str">
        <f t="shared" ca="1" si="10"/>
        <v>P</v>
      </c>
      <c r="G122" s="73">
        <f t="shared" ca="1" si="8"/>
        <v>4</v>
      </c>
      <c r="H122" s="73">
        <f t="shared" ca="1" si="9"/>
        <v>1</v>
      </c>
    </row>
    <row r="123" spans="1:8" ht="21">
      <c r="A123" s="74" t="s">
        <v>70</v>
      </c>
      <c r="B123" s="73" t="str">
        <f t="shared" ca="1" si="11"/>
        <v>A</v>
      </c>
      <c r="C123" s="73" t="str">
        <f t="shared" ca="1" si="10"/>
        <v>P</v>
      </c>
      <c r="D123" s="73" t="str">
        <f t="shared" ca="1" si="10"/>
        <v>P</v>
      </c>
      <c r="E123" s="73" t="str">
        <f t="shared" ca="1" si="10"/>
        <v>P</v>
      </c>
      <c r="F123" s="76" t="str">
        <f t="shared" ca="1" si="10"/>
        <v>A</v>
      </c>
      <c r="G123" s="73">
        <f t="shared" ca="1" si="8"/>
        <v>3</v>
      </c>
      <c r="H123" s="73">
        <f t="shared" ca="1" si="9"/>
        <v>2</v>
      </c>
    </row>
    <row r="124" spans="1:8" ht="21">
      <c r="A124" s="75" t="s">
        <v>71</v>
      </c>
      <c r="B124" s="73" t="str">
        <f t="shared" ca="1" si="11"/>
        <v>P</v>
      </c>
      <c r="C124" s="73" t="str">
        <f t="shared" ca="1" si="10"/>
        <v>A</v>
      </c>
      <c r="D124" s="73" t="str">
        <f t="shared" ca="1" si="10"/>
        <v>A</v>
      </c>
      <c r="E124" s="73" t="str">
        <f t="shared" ca="1" si="10"/>
        <v>A</v>
      </c>
      <c r="F124" s="76" t="str">
        <f t="shared" ca="1" si="10"/>
        <v>P</v>
      </c>
      <c r="G124" s="73">
        <f t="shared" ca="1" si="8"/>
        <v>2</v>
      </c>
      <c r="H124" s="73">
        <f t="shared" ca="1" si="9"/>
        <v>3</v>
      </c>
    </row>
    <row r="127" spans="1:8" ht="23.25" customHeight="1">
      <c r="A127" s="83" t="s">
        <v>134</v>
      </c>
      <c r="B127" s="84"/>
      <c r="C127" s="84"/>
    </row>
    <row r="130" spans="1:5" ht="16.5">
      <c r="A130" s="29" t="s">
        <v>135</v>
      </c>
      <c r="B130" s="29" t="s">
        <v>35</v>
      </c>
    </row>
    <row r="131" spans="1:5" ht="17.25">
      <c r="A131" s="30" t="s">
        <v>136</v>
      </c>
      <c r="B131" s="30">
        <v>4500</v>
      </c>
    </row>
    <row r="132" spans="1:5" ht="17.25">
      <c r="A132" s="30" t="s">
        <v>137</v>
      </c>
      <c r="B132" s="30">
        <v>12000</v>
      </c>
    </row>
    <row r="133" spans="1:5" ht="17.25">
      <c r="A133" s="30" t="s">
        <v>138</v>
      </c>
      <c r="B133" s="30">
        <v>8000</v>
      </c>
    </row>
    <row r="134" spans="1:5" ht="36">
      <c r="A134" s="30" t="s">
        <v>139</v>
      </c>
      <c r="B134" s="30">
        <v>25000</v>
      </c>
      <c r="D134" s="68" t="s">
        <v>140</v>
      </c>
      <c r="E134" s="3">
        <f ca="1">COUNTIF(B131:B150,"&gt;10000")</f>
        <v>14</v>
      </c>
    </row>
    <row r="135" spans="1:5" ht="36">
      <c r="A135" s="30" t="s">
        <v>141</v>
      </c>
      <c r="B135" s="30">
        <v>3000</v>
      </c>
      <c r="D135" s="68" t="s">
        <v>142</v>
      </c>
      <c r="E135" s="3">
        <f ca="1">COUNTIF(B131:B150,"&lt;5000")</f>
        <v>2</v>
      </c>
    </row>
    <row r="136" spans="1:5" ht="17.25">
      <c r="A136" s="30" t="s">
        <v>143</v>
      </c>
      <c r="B136" s="30">
        <v>15000</v>
      </c>
    </row>
    <row r="137" spans="1:5">
      <c r="A137" s="3" t="s">
        <v>144</v>
      </c>
      <c r="B137" s="3">
        <f ca="1">RANDBETWEEN(2000,50000)</f>
        <v>33450</v>
      </c>
    </row>
    <row r="138" spans="1:5">
      <c r="A138" s="3" t="s">
        <v>145</v>
      </c>
      <c r="B138" s="3">
        <f t="shared" ref="B138:B150" ca="1" si="12">RANDBETWEEN(2000,50000)</f>
        <v>49464</v>
      </c>
    </row>
    <row r="139" spans="1:5">
      <c r="A139" s="3" t="s">
        <v>146</v>
      </c>
      <c r="B139" s="3">
        <f t="shared" ca="1" si="12"/>
        <v>8278</v>
      </c>
    </row>
    <row r="140" spans="1:5">
      <c r="A140" s="3" t="s">
        <v>147</v>
      </c>
      <c r="B140" s="3">
        <f t="shared" ca="1" si="12"/>
        <v>41334</v>
      </c>
    </row>
    <row r="141" spans="1:5">
      <c r="A141" s="3" t="s">
        <v>148</v>
      </c>
      <c r="B141" s="3">
        <f t="shared" ca="1" si="12"/>
        <v>24448</v>
      </c>
    </row>
    <row r="142" spans="1:5">
      <c r="A142" s="3" t="s">
        <v>149</v>
      </c>
      <c r="B142" s="3">
        <f t="shared" ca="1" si="12"/>
        <v>28378</v>
      </c>
    </row>
    <row r="143" spans="1:5">
      <c r="A143" s="3" t="s">
        <v>150</v>
      </c>
      <c r="B143" s="3">
        <f t="shared" ca="1" si="12"/>
        <v>35591</v>
      </c>
    </row>
    <row r="144" spans="1:5">
      <c r="A144" s="3" t="s">
        <v>151</v>
      </c>
      <c r="B144" s="3">
        <f t="shared" ca="1" si="12"/>
        <v>33459</v>
      </c>
    </row>
    <row r="145" spans="1:3">
      <c r="A145" s="3" t="s">
        <v>152</v>
      </c>
      <c r="B145" s="3">
        <f t="shared" ca="1" si="12"/>
        <v>20323</v>
      </c>
    </row>
    <row r="146" spans="1:3">
      <c r="A146" s="3" t="s">
        <v>153</v>
      </c>
      <c r="B146" s="3">
        <f t="shared" ca="1" si="12"/>
        <v>40583</v>
      </c>
    </row>
    <row r="147" spans="1:3">
      <c r="A147" s="3" t="s">
        <v>154</v>
      </c>
      <c r="B147" s="3">
        <f t="shared" ca="1" si="12"/>
        <v>28537</v>
      </c>
    </row>
    <row r="148" spans="1:3">
      <c r="A148" s="3" t="s">
        <v>155</v>
      </c>
      <c r="B148" s="3">
        <f t="shared" ca="1" si="12"/>
        <v>23849</v>
      </c>
    </row>
    <row r="149" spans="1:3">
      <c r="A149" s="3" t="s">
        <v>156</v>
      </c>
      <c r="B149" s="3">
        <f t="shared" ca="1" si="12"/>
        <v>5749</v>
      </c>
    </row>
    <row r="150" spans="1:3">
      <c r="A150" s="3" t="s">
        <v>157</v>
      </c>
      <c r="B150" s="3">
        <f t="shared" ca="1" si="12"/>
        <v>5458</v>
      </c>
    </row>
    <row r="152" spans="1:3" ht="23.25" customHeight="1">
      <c r="A152" s="18" t="s">
        <v>158</v>
      </c>
      <c r="B152" s="26"/>
      <c r="C152" s="26"/>
    </row>
    <row r="154" spans="1:3" ht="16.5">
      <c r="A154" s="77" t="s">
        <v>159</v>
      </c>
      <c r="B154" s="77" t="s">
        <v>35</v>
      </c>
    </row>
    <row r="155" spans="1:3" ht="17.25">
      <c r="A155" s="78" t="s">
        <v>160</v>
      </c>
      <c r="B155" s="78">
        <v>22000</v>
      </c>
    </row>
    <row r="156" spans="1:3" ht="17.25">
      <c r="A156" s="78" t="s">
        <v>161</v>
      </c>
      <c r="B156" s="78">
        <v>3500</v>
      </c>
    </row>
    <row r="157" spans="1:3" ht="17.25">
      <c r="A157" s="78" t="s">
        <v>162</v>
      </c>
      <c r="B157" s="78">
        <v>58000</v>
      </c>
    </row>
    <row r="158" spans="1:3" ht="17.25">
      <c r="A158" s="78" t="s">
        <v>163</v>
      </c>
      <c r="B158" s="78">
        <v>1800</v>
      </c>
    </row>
    <row r="159" spans="1:3" ht="17.25">
      <c r="A159" s="78" t="s">
        <v>164</v>
      </c>
      <c r="B159" s="78">
        <v>12000</v>
      </c>
    </row>
    <row r="160" spans="1:3">
      <c r="A160" s="73" t="s">
        <v>165</v>
      </c>
      <c r="B160" s="73">
        <f ca="1">RANDBETWEEN(1000,60000)</f>
        <v>19265</v>
      </c>
    </row>
    <row r="161" spans="1:3">
      <c r="A161" s="73" t="s">
        <v>166</v>
      </c>
      <c r="B161" s="73">
        <f t="shared" ref="B161:B166" ca="1" si="13">RANDBETWEEN(1000,60000)</f>
        <v>2339</v>
      </c>
    </row>
    <row r="162" spans="1:3">
      <c r="A162" s="73" t="s">
        <v>167</v>
      </c>
      <c r="B162" s="73">
        <f t="shared" ca="1" si="13"/>
        <v>53214</v>
      </c>
    </row>
    <row r="163" spans="1:3">
      <c r="A163" s="73" t="s">
        <v>168</v>
      </c>
      <c r="B163" s="73">
        <f t="shared" ca="1" si="13"/>
        <v>35249</v>
      </c>
    </row>
    <row r="164" spans="1:3">
      <c r="A164" s="73" t="s">
        <v>169</v>
      </c>
      <c r="B164" s="73">
        <f t="shared" ca="1" si="13"/>
        <v>57853</v>
      </c>
    </row>
    <row r="165" spans="1:3">
      <c r="A165" s="73" t="s">
        <v>170</v>
      </c>
      <c r="B165" s="73">
        <f t="shared" ca="1" si="13"/>
        <v>40248</v>
      </c>
    </row>
    <row r="166" spans="1:3">
      <c r="A166" s="73" t="s">
        <v>171</v>
      </c>
      <c r="B166" s="73">
        <f t="shared" ca="1" si="13"/>
        <v>28959</v>
      </c>
    </row>
    <row r="169" spans="1:3" ht="28.5" customHeight="1">
      <c r="A169" s="70" t="s">
        <v>172</v>
      </c>
      <c r="B169" s="71"/>
      <c r="C169" s="71"/>
    </row>
    <row r="172" spans="1:3" ht="16.5">
      <c r="A172" s="77" t="s">
        <v>50</v>
      </c>
      <c r="B172" s="77" t="s">
        <v>2</v>
      </c>
      <c r="C172" s="77" t="s">
        <v>173</v>
      </c>
    </row>
    <row r="173" spans="1:3" ht="17.25">
      <c r="A173" s="78">
        <v>1</v>
      </c>
      <c r="B173" s="78" t="s">
        <v>105</v>
      </c>
      <c r="C173" s="78">
        <v>85</v>
      </c>
    </row>
    <row r="174" spans="1:3" ht="17.25">
      <c r="A174" s="78">
        <v>2</v>
      </c>
      <c r="B174" s="78" t="s">
        <v>65</v>
      </c>
      <c r="C174" s="78">
        <v>72</v>
      </c>
    </row>
    <row r="175" spans="1:3" ht="17.25">
      <c r="A175" s="78">
        <v>3</v>
      </c>
      <c r="B175" s="78" t="s">
        <v>174</v>
      </c>
      <c r="C175" s="78">
        <v>39</v>
      </c>
    </row>
    <row r="176" spans="1:3" ht="17.25">
      <c r="A176" s="78">
        <v>4</v>
      </c>
      <c r="B176" s="78" t="s">
        <v>175</v>
      </c>
      <c r="C176" s="78">
        <v>91</v>
      </c>
    </row>
    <row r="177" spans="1:3" ht="17.25">
      <c r="A177" s="78">
        <v>5</v>
      </c>
      <c r="B177" s="78" t="s">
        <v>176</v>
      </c>
      <c r="C177" s="78">
        <v>28</v>
      </c>
    </row>
    <row r="178" spans="1:3" ht="21">
      <c r="A178" s="73">
        <v>6</v>
      </c>
      <c r="B178" s="72" t="s">
        <v>13</v>
      </c>
      <c r="C178" s="72">
        <f ca="1">RANDBETWEEN(1,100)</f>
        <v>78</v>
      </c>
    </row>
    <row r="179" spans="1:3" ht="21">
      <c r="A179" s="73">
        <v>7</v>
      </c>
      <c r="B179" s="72" t="s">
        <v>61</v>
      </c>
      <c r="C179" s="72">
        <f t="shared" ref="C179:C192" ca="1" si="14">RANDBETWEEN(1,100)</f>
        <v>71</v>
      </c>
    </row>
    <row r="180" spans="1:3" ht="21">
      <c r="A180" s="73">
        <v>8</v>
      </c>
      <c r="B180" s="72" t="s">
        <v>7</v>
      </c>
      <c r="C180" s="72">
        <f t="shared" ca="1" si="14"/>
        <v>78</v>
      </c>
    </row>
    <row r="181" spans="1:3" ht="21">
      <c r="A181" s="73">
        <v>9</v>
      </c>
      <c r="B181" s="72" t="s">
        <v>24</v>
      </c>
      <c r="C181" s="72">
        <f t="shared" ca="1" si="14"/>
        <v>3</v>
      </c>
    </row>
    <row r="182" spans="1:3" ht="21">
      <c r="A182" s="73">
        <v>10</v>
      </c>
      <c r="B182" s="72" t="s">
        <v>62</v>
      </c>
      <c r="C182" s="72">
        <f t="shared" ca="1" si="14"/>
        <v>27</v>
      </c>
    </row>
    <row r="183" spans="1:3" ht="21">
      <c r="A183" s="73">
        <v>11</v>
      </c>
      <c r="B183" s="72" t="s">
        <v>63</v>
      </c>
      <c r="C183" s="72">
        <f t="shared" ca="1" si="14"/>
        <v>80</v>
      </c>
    </row>
    <row r="184" spans="1:3" ht="21">
      <c r="A184" s="73">
        <v>12</v>
      </c>
      <c r="B184" s="72" t="s">
        <v>64</v>
      </c>
      <c r="C184" s="72">
        <f t="shared" ca="1" si="14"/>
        <v>9</v>
      </c>
    </row>
    <row r="185" spans="1:3" ht="21">
      <c r="A185" s="73">
        <v>13</v>
      </c>
      <c r="B185" s="72" t="s">
        <v>65</v>
      </c>
      <c r="C185" s="72">
        <f t="shared" ca="1" si="14"/>
        <v>43</v>
      </c>
    </row>
    <row r="186" spans="1:3" ht="21">
      <c r="A186" s="73">
        <v>14</v>
      </c>
      <c r="B186" s="72" t="s">
        <v>58</v>
      </c>
      <c r="C186" s="72">
        <f t="shared" ca="1" si="14"/>
        <v>56</v>
      </c>
    </row>
    <row r="187" spans="1:3" ht="21">
      <c r="A187" s="73">
        <v>15</v>
      </c>
      <c r="B187" s="72" t="s">
        <v>66</v>
      </c>
      <c r="C187" s="72">
        <f t="shared" ca="1" si="14"/>
        <v>66</v>
      </c>
    </row>
    <row r="188" spans="1:3" ht="21">
      <c r="A188" s="73">
        <v>16</v>
      </c>
      <c r="B188" s="72" t="s">
        <v>67</v>
      </c>
      <c r="C188" s="72">
        <f t="shared" ca="1" si="14"/>
        <v>93</v>
      </c>
    </row>
    <row r="189" spans="1:3" ht="21">
      <c r="A189" s="73">
        <v>17</v>
      </c>
      <c r="B189" s="72" t="s">
        <v>68</v>
      </c>
      <c r="C189" s="72">
        <f t="shared" ca="1" si="14"/>
        <v>87</v>
      </c>
    </row>
    <row r="190" spans="1:3" ht="21">
      <c r="A190" s="73">
        <v>18</v>
      </c>
      <c r="B190" s="72" t="s">
        <v>69</v>
      </c>
      <c r="C190" s="72">
        <f t="shared" ca="1" si="14"/>
        <v>88</v>
      </c>
    </row>
    <row r="191" spans="1:3" ht="21">
      <c r="A191" s="73">
        <v>19</v>
      </c>
      <c r="B191" s="72" t="s">
        <v>70</v>
      </c>
      <c r="C191" s="72">
        <f t="shared" ca="1" si="14"/>
        <v>29</v>
      </c>
    </row>
    <row r="192" spans="1:3" ht="21">
      <c r="A192" s="73">
        <v>20</v>
      </c>
      <c r="B192" s="72" t="s">
        <v>71</v>
      </c>
      <c r="C192" s="72">
        <f t="shared" ca="1" si="14"/>
        <v>3</v>
      </c>
    </row>
    <row r="195" spans="1:3" ht="23.25" customHeight="1">
      <c r="A195" s="18" t="s">
        <v>177</v>
      </c>
      <c r="B195" s="26"/>
      <c r="C195" s="26"/>
    </row>
    <row r="197" spans="1:3" ht="17.25">
      <c r="A197" s="89" t="s">
        <v>100</v>
      </c>
      <c r="B197" s="89" t="s">
        <v>4</v>
      </c>
    </row>
    <row r="198" spans="1:3" ht="17.25">
      <c r="A198" s="86" t="s">
        <v>118</v>
      </c>
      <c r="B198" s="86">
        <v>28000</v>
      </c>
    </row>
    <row r="199" spans="1:3" ht="17.25">
      <c r="A199" s="86" t="s">
        <v>178</v>
      </c>
      <c r="B199" s="86">
        <v>34000</v>
      </c>
    </row>
    <row r="200" spans="1:3" ht="17.25">
      <c r="A200" s="86" t="s">
        <v>179</v>
      </c>
      <c r="B200" s="86">
        <v>51000</v>
      </c>
    </row>
    <row r="201" spans="1:3" ht="17.25">
      <c r="A201" s="86" t="s">
        <v>180</v>
      </c>
      <c r="B201" s="86">
        <v>47000</v>
      </c>
    </row>
    <row r="202" spans="1:3" ht="17.25">
      <c r="A202" s="86" t="s">
        <v>181</v>
      </c>
      <c r="B202" s="86">
        <v>29000</v>
      </c>
    </row>
    <row r="203" spans="1:3" ht="19.5">
      <c r="A203" s="85" t="s">
        <v>13</v>
      </c>
      <c r="B203" s="86">
        <v>38000</v>
      </c>
      <c r="C203" s="88"/>
    </row>
    <row r="204" spans="1:3" ht="21">
      <c r="A204" s="85" t="s">
        <v>61</v>
      </c>
      <c r="B204" s="87">
        <f ca="1">RANDBETWEEN(15000,95000)</f>
        <v>38262</v>
      </c>
    </row>
    <row r="205" spans="1:3" ht="21">
      <c r="A205" s="85" t="s">
        <v>7</v>
      </c>
      <c r="B205" s="87">
        <f t="shared" ref="B205:B217" ca="1" si="15">RANDBETWEEN(15000,95000)</f>
        <v>27024</v>
      </c>
    </row>
    <row r="206" spans="1:3" ht="21">
      <c r="A206" s="85" t="s">
        <v>24</v>
      </c>
      <c r="B206" s="87">
        <f t="shared" ca="1" si="15"/>
        <v>42120</v>
      </c>
    </row>
    <row r="207" spans="1:3" ht="21">
      <c r="A207" s="85" t="s">
        <v>62</v>
      </c>
      <c r="B207" s="87">
        <f t="shared" ca="1" si="15"/>
        <v>32568</v>
      </c>
    </row>
    <row r="208" spans="1:3" ht="21">
      <c r="A208" s="85" t="s">
        <v>63</v>
      </c>
      <c r="B208" s="87">
        <f t="shared" ca="1" si="15"/>
        <v>29628</v>
      </c>
    </row>
    <row r="209" spans="1:2" ht="21">
      <c r="A209" s="85" t="s">
        <v>64</v>
      </c>
      <c r="B209" s="87">
        <f t="shared" ca="1" si="15"/>
        <v>49698</v>
      </c>
    </row>
    <row r="210" spans="1:2" ht="21">
      <c r="A210" s="85" t="s">
        <v>65</v>
      </c>
      <c r="B210" s="87">
        <f t="shared" ca="1" si="15"/>
        <v>54231</v>
      </c>
    </row>
    <row r="211" spans="1:2" ht="21">
      <c r="A211" s="85" t="s">
        <v>58</v>
      </c>
      <c r="B211" s="87">
        <f t="shared" ca="1" si="15"/>
        <v>32080</v>
      </c>
    </row>
    <row r="212" spans="1:2" ht="21">
      <c r="A212" s="85" t="s">
        <v>66</v>
      </c>
      <c r="B212" s="87">
        <f t="shared" ca="1" si="15"/>
        <v>39273</v>
      </c>
    </row>
    <row r="213" spans="1:2" ht="21">
      <c r="A213" s="85" t="s">
        <v>67</v>
      </c>
      <c r="B213" s="87">
        <f t="shared" ca="1" si="15"/>
        <v>18853</v>
      </c>
    </row>
    <row r="214" spans="1:2" ht="21">
      <c r="A214" s="85" t="s">
        <v>68</v>
      </c>
      <c r="B214" s="87">
        <f t="shared" ca="1" si="15"/>
        <v>32437</v>
      </c>
    </row>
    <row r="215" spans="1:2" ht="21">
      <c r="A215" s="85" t="s">
        <v>69</v>
      </c>
      <c r="B215" s="87">
        <f t="shared" ca="1" si="15"/>
        <v>32980</v>
      </c>
    </row>
    <row r="216" spans="1:2" ht="21">
      <c r="A216" s="85" t="s">
        <v>70</v>
      </c>
      <c r="B216" s="87">
        <f t="shared" ca="1" si="15"/>
        <v>65197</v>
      </c>
    </row>
    <row r="217" spans="1:2" ht="21">
      <c r="A217" s="85" t="s">
        <v>71</v>
      </c>
      <c r="B217" s="87">
        <f t="shared" ca="1" si="15"/>
        <v>20202</v>
      </c>
    </row>
  </sheetData>
  <mergeCells count="11">
    <mergeCell ref="A77:C77"/>
    <mergeCell ref="A103:D103"/>
    <mergeCell ref="A127:C127"/>
    <mergeCell ref="A152:C152"/>
    <mergeCell ref="A169:C169"/>
    <mergeCell ref="A195:C195"/>
    <mergeCell ref="A2:E2"/>
    <mergeCell ref="A16:E16"/>
    <mergeCell ref="B17:C17"/>
    <mergeCell ref="A26:D26"/>
    <mergeCell ref="A51:D51"/>
  </mergeCells>
  <conditionalFormatting sqref="B155:B166">
    <cfRule type="cellIs" dxfId="7" priority="8" operator="greaterThan">
      <formula>20000</formula>
    </cfRule>
  </conditionalFormatting>
  <conditionalFormatting sqref="B155:B166">
    <cfRule type="cellIs" dxfId="6" priority="7" operator="lessThan">
      <formula>5000</formula>
    </cfRule>
  </conditionalFormatting>
  <conditionalFormatting sqref="C173:C192">
    <cfRule type="cellIs" dxfId="5" priority="6" stopIfTrue="1" operator="greaterThan">
      <formula>75</formula>
    </cfRule>
  </conditionalFormatting>
  <conditionalFormatting sqref="C173:C192">
    <cfRule type="cellIs" dxfId="4" priority="5" operator="lessThan">
      <formula>40</formula>
    </cfRule>
  </conditionalFormatting>
  <conditionalFormatting sqref="C173:C192">
    <cfRule type="cellIs" dxfId="3" priority="4" operator="equal">
      <formula>75</formula>
    </cfRule>
  </conditionalFormatting>
  <conditionalFormatting sqref="B198:B217">
    <cfRule type="cellIs" dxfId="2" priority="3" operator="greaterThanOrEqual">
      <formula>50000</formula>
    </cfRule>
  </conditionalFormatting>
  <conditionalFormatting sqref="B198:B217">
    <cfRule type="cellIs" dxfId="1" priority="2" operator="between">
      <formula>30000</formula>
      <formula>49999</formula>
    </cfRule>
  </conditionalFormatting>
  <conditionalFormatting sqref="B198:B217">
    <cfRule type="cellIs" dxfId="0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2026-06-23T17:36:36Z</dcterms:created>
  <dcterms:modified xsi:type="dcterms:W3CDTF">2026-06-23T19:52:13Z</dcterms:modified>
  <cp:category/>
  <cp:contentStatus/>
</cp:coreProperties>
</file>