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0EEBD08A-3A16-4B15-9278-D9280034BE48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Empolyee_data" sheetId="1" r:id="rId1"/>
    <sheet name="department_bonu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D24" i="1"/>
  <c r="E24" i="1"/>
  <c r="C24" i="1"/>
  <c r="I18" i="1"/>
  <c r="C6" i="2"/>
  <c r="M14" i="1"/>
  <c r="N9" i="1"/>
  <c r="M2" i="1"/>
  <c r="G9" i="2"/>
  <c r="D18" i="1"/>
  <c r="F18" i="1"/>
  <c r="I4" i="2"/>
  <c r="G3" i="1"/>
  <c r="G4" i="1"/>
  <c r="G5" i="1"/>
  <c r="G13" i="1" s="1"/>
  <c r="G6" i="1"/>
  <c r="G7" i="1"/>
  <c r="G8" i="1"/>
  <c r="G9" i="1"/>
  <c r="G2" i="1"/>
  <c r="C4" i="2"/>
  <c r="D4" i="2"/>
  <c r="E4" i="2"/>
  <c r="F4" i="2"/>
  <c r="B4" i="2"/>
  <c r="O6" i="1"/>
  <c r="M6" i="1"/>
</calcChain>
</file>

<file path=xl/sharedStrings.xml><?xml version="1.0" encoding="utf-8"?>
<sst xmlns="http://schemas.openxmlformats.org/spreadsheetml/2006/main" count="110" uniqueCount="71">
  <si>
    <t>EmployeeID</t>
  </si>
  <si>
    <t>Name</t>
  </si>
  <si>
    <t>Department</t>
  </si>
  <si>
    <t>Location</t>
  </si>
  <si>
    <t>Salary</t>
  </si>
  <si>
    <t>JoiningYear</t>
  </si>
  <si>
    <t>BONUSAMT</t>
  </si>
  <si>
    <t>BONUS</t>
  </si>
  <si>
    <t>Q1</t>
  </si>
  <si>
    <t>E101</t>
  </si>
  <si>
    <t>Rahul Sharma</t>
  </si>
  <si>
    <t>Sales</t>
  </si>
  <si>
    <t>Mumbai</t>
  </si>
  <si>
    <t>E107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</si>
  <si>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</si>
  <si>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</si>
  <si>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</si>
  <si>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</si>
  <si>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</si>
  <si>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</si>
  <si>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</si>
  <si>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</si>
  <si>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Q6</t>
  </si>
  <si>
    <t>E104</t>
  </si>
  <si>
    <t>Neha Singh</t>
  </si>
  <si>
    <t>Finance</t>
  </si>
  <si>
    <t>Pune</t>
  </si>
  <si>
    <t>Q2</t>
  </si>
  <si>
    <t>EMPID</t>
  </si>
  <si>
    <t>JOIN YEAR</t>
  </si>
  <si>
    <t>E105</t>
  </si>
  <si>
    <t>Aman Kumar</t>
  </si>
  <si>
    <t>Marketing</t>
  </si>
  <si>
    <t>E106</t>
  </si>
  <si>
    <t>Pooja Mehta</t>
  </si>
  <si>
    <t>Chennai</t>
  </si>
  <si>
    <t>Suresh Rao</t>
  </si>
  <si>
    <t>Hyderabad</t>
  </si>
  <si>
    <t>Q4</t>
  </si>
  <si>
    <t>empid</t>
  </si>
  <si>
    <t>location</t>
  </si>
  <si>
    <t>E108</t>
  </si>
  <si>
    <t>Kavita Iyer</t>
  </si>
  <si>
    <t>Q3</t>
  </si>
  <si>
    <t>NAME</t>
  </si>
  <si>
    <t>SALARY</t>
  </si>
  <si>
    <t>HLLOKUP Q9</t>
  </si>
  <si>
    <t>BONUSEMT</t>
  </si>
  <si>
    <t>Q5</t>
  </si>
  <si>
    <t>LOCATION</t>
  </si>
  <si>
    <t>E111</t>
  </si>
  <si>
    <t>Q12</t>
  </si>
  <si>
    <t>Q13</t>
  </si>
  <si>
    <t>Q11</t>
  </si>
  <si>
    <t>EMPNAME</t>
  </si>
  <si>
    <t>DEAPRT</t>
  </si>
  <si>
    <t>name</t>
  </si>
  <si>
    <t>loca</t>
  </si>
  <si>
    <t>E10211</t>
  </si>
  <si>
    <t>.</t>
  </si>
  <si>
    <t>Q14</t>
  </si>
  <si>
    <t>DEPARTMENT</t>
  </si>
  <si>
    <t>Bonus %</t>
  </si>
  <si>
    <t>Q7 &amp; Q8</t>
  </si>
  <si>
    <t>DEPART</t>
  </si>
  <si>
    <t>bonusamt</t>
  </si>
  <si>
    <t>Q10</t>
  </si>
  <si>
    <t>DEPAR</t>
  </si>
  <si>
    <t>BONUS%</t>
  </si>
  <si>
    <t>MANA</t>
  </si>
  <si>
    <t>Q15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</si>
</sst>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rgb="FFF0F6FC"/>
      <name val="Mona Sans VF"/>
      <charset val="1"/>
    </font>
    <font>
      <sz val="12"/>
      <color theme="1"/>
      <name val="Mona Sans VF"/>
      <charset val="1"/>
    </font>
    <font>
      <sz val="12"/>
      <color theme="0"/>
      <name val="Mona Sans VF"/>
      <charset val="1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3D444D"/>
      </left>
      <right style="thin">
        <color rgb="FF3D444D"/>
      </right>
      <top style="thin">
        <color rgb="FF3D444D"/>
      </top>
      <bottom style="thin">
        <color rgb="FF3D444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wrapText="1"/>
    </xf>
    <xf numFmtId="9" fontId="1" fillId="2" borderId="1" xfId="0" applyNumberFormat="1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4" borderId="0" xfId="0" applyFill="1"/>
    <xf numFmtId="0" fontId="2" fillId="4" borderId="1" xfId="0" applyFont="1" applyFill="1" applyBorder="1" applyAlignment="1">
      <alignment wrapText="1"/>
    </xf>
    <xf numFmtId="0" fontId="0" fillId="4" borderId="0" xfId="0" applyFill="1" applyAlignment="1">
      <alignment wrapText="1"/>
    </xf>
    <xf numFmtId="10" fontId="0" fillId="4" borderId="0" xfId="0" applyNumberFormat="1" applyFill="1"/>
    <xf numFmtId="9" fontId="0" fillId="4" borderId="0" xfId="0" applyNumberFormat="1" applyFill="1"/>
    <xf numFmtId="0" fontId="0" fillId="5" borderId="0" xfId="0" applyFill="1"/>
    <xf numFmtId="0" fontId="3" fillId="6" borderId="2" xfId="0" applyFont="1" applyFill="1" applyBorder="1" applyAlignment="1">
      <alignment wrapText="1"/>
    </xf>
    <xf numFmtId="0" fontId="4" fillId="6" borderId="2" xfId="0" applyFont="1" applyFill="1" applyBorder="1"/>
    <xf numFmtId="9" fontId="4" fillId="6" borderId="2" xfId="0" applyNumberFormat="1" applyFont="1" applyFill="1" applyBorder="1"/>
    <xf numFmtId="0" fontId="1" fillId="2" borderId="2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workbookViewId="0">
      <selection activeCell="J9" sqref="J9:K11"/>
    </sheetView>
  </sheetViews>
  <sheetFormatPr defaultRowHeight="15"/>
  <cols>
    <col min="1" max="1" width="16.42578125" customWidth="1"/>
    <col min="2" max="2" width="13.85546875" customWidth="1"/>
    <col min="3" max="3" width="18.7109375" customWidth="1"/>
    <col min="4" max="5" width="14.85546875" customWidth="1"/>
    <col min="6" max="7" width="13.42578125" customWidth="1"/>
    <col min="8" max="8" width="11.7109375" bestFit="1" customWidth="1"/>
    <col min="9" max="9" width="12.42578125" customWidth="1"/>
    <col min="10" max="10" width="12" customWidth="1"/>
    <col min="12" max="12" width="14.140625" customWidth="1"/>
    <col min="13" max="13" width="16.140625" customWidth="1"/>
    <col min="14" max="14" width="31.28515625" bestFit="1" customWidth="1"/>
    <col min="15" max="15" width="9.85546875" bestFit="1" customWidth="1"/>
  </cols>
  <sheetData>
    <row r="1" spans="1:15" ht="17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0" t="s">
        <v>6</v>
      </c>
      <c r="H1" s="11" t="s">
        <v>7</v>
      </c>
      <c r="K1" t="s">
        <v>8</v>
      </c>
      <c r="L1" s="5" t="s">
        <v>0</v>
      </c>
      <c r="M1" s="5" t="s">
        <v>1</v>
      </c>
    </row>
    <row r="2" spans="1:15" ht="36">
      <c r="A2" s="13" t="s">
        <v>9</v>
      </c>
      <c r="B2" s="13" t="s">
        <v>10</v>
      </c>
      <c r="C2" s="13" t="s">
        <v>11</v>
      </c>
      <c r="D2" s="13" t="s">
        <v>12</v>
      </c>
      <c r="E2" s="13">
        <v>45000</v>
      </c>
      <c r="F2" s="13">
        <v>2019</v>
      </c>
      <c r="G2" s="10">
        <f>(E2*H2)</f>
        <v>4500</v>
      </c>
      <c r="H2" s="12">
        <v>0.1</v>
      </c>
      <c r="L2" s="5" t="s">
        <v>13</v>
      </c>
      <c r="M2" s="5" t="str">
        <f>VLOOKUP(L2,A1:F9,2,0)</f>
        <v>Suresh Rao</v>
      </c>
    </row>
    <row r="3" spans="1:15" ht="36">
      <c r="A3" s="14" t="s">
        <v>14</v>
      </c>
      <c r="B3" s="14" t="s">
        <v>15</v>
      </c>
      <c r="C3" s="14" t="s">
        <v>16</v>
      </c>
      <c r="D3" s="14" t="s">
        <v>17</v>
      </c>
      <c r="E3" s="14">
        <v>52000</v>
      </c>
      <c r="F3" s="14">
        <v>2018</v>
      </c>
      <c r="G3" s="10">
        <f t="shared" ref="G3:G9" si="0">(E3*H3)</f>
        <v>41600</v>
      </c>
      <c r="H3" s="12">
        <v>0.8</v>
      </c>
    </row>
    <row r="4" spans="1:15" ht="17.25">
      <c r="A4" s="13" t="s">
        <v>18</v>
      </c>
      <c r="B4" s="13" t="s">
        <v>19</v>
      </c>
      <c r="C4" s="13" t="s">
        <v>20</v>
      </c>
      <c r="D4" s="13" t="s">
        <v>21</v>
      </c>
      <c r="E4" s="13">
        <v>65000</v>
      </c>
      <c r="F4" s="13">
        <v>2020</v>
      </c>
      <c r="G4" s="10">
        <f t="shared" si="0"/>
        <v>7800</v>
      </c>
      <c r="H4" s="12">
        <v>0.12</v>
      </c>
      <c r="N4" t="s">
        <v>22</v>
      </c>
    </row>
    <row r="5" spans="1:15" ht="17.25">
      <c r="A5" s="14" t="s">
        <v>23</v>
      </c>
      <c r="B5" s="14" t="s">
        <v>24</v>
      </c>
      <c r="C5" s="14" t="s">
        <v>25</v>
      </c>
      <c r="D5" s="14" t="s">
        <v>26</v>
      </c>
      <c r="E5" s="14">
        <v>58000</v>
      </c>
      <c r="F5" s="14">
        <v>2017</v>
      </c>
      <c r="G5" s="10">
        <f t="shared" si="0"/>
        <v>8700</v>
      </c>
      <c r="H5" s="12">
        <v>0.15</v>
      </c>
      <c r="K5" t="s">
        <v>27</v>
      </c>
      <c r="L5" s="4" t="s">
        <v>0</v>
      </c>
      <c r="M5" s="4" t="s">
        <v>2</v>
      </c>
      <c r="N5" s="4" t="s">
        <v>28</v>
      </c>
      <c r="O5" s="4" t="s">
        <v>29</v>
      </c>
    </row>
    <row r="6" spans="1:15" ht="36">
      <c r="A6" s="13" t="s">
        <v>30</v>
      </c>
      <c r="B6" s="13" t="s">
        <v>31</v>
      </c>
      <c r="C6" s="13" t="s">
        <v>32</v>
      </c>
      <c r="D6" s="13" t="s">
        <v>12</v>
      </c>
      <c r="E6" s="13">
        <v>48000</v>
      </c>
      <c r="F6" s="13">
        <v>2021</v>
      </c>
      <c r="G6" s="10">
        <f t="shared" si="0"/>
        <v>4320</v>
      </c>
      <c r="H6" s="12">
        <v>0.09</v>
      </c>
      <c r="L6" s="4" t="s">
        <v>9</v>
      </c>
      <c r="M6" s="4" t="str">
        <f>VLOOKUP(L6,A1:F8,3,0)</f>
        <v>Sales</v>
      </c>
      <c r="N6" s="4" t="s">
        <v>9</v>
      </c>
      <c r="O6" s="4">
        <f>VLOOKUP(N6,A1:F9,6,0)</f>
        <v>2019</v>
      </c>
    </row>
    <row r="7" spans="1:15" ht="17.25">
      <c r="A7" s="14" t="s">
        <v>33</v>
      </c>
      <c r="B7" s="14" t="s">
        <v>34</v>
      </c>
      <c r="C7" s="14" t="s">
        <v>20</v>
      </c>
      <c r="D7" s="14" t="s">
        <v>35</v>
      </c>
      <c r="E7" s="14">
        <v>62000</v>
      </c>
      <c r="F7" s="14">
        <v>2019</v>
      </c>
      <c r="G7" s="10">
        <f t="shared" si="0"/>
        <v>7440</v>
      </c>
      <c r="H7" s="12">
        <v>0.12</v>
      </c>
    </row>
    <row r="8" spans="1:15" ht="17.25">
      <c r="A8" s="13" t="s">
        <v>13</v>
      </c>
      <c r="B8" s="13" t="s">
        <v>36</v>
      </c>
      <c r="C8" s="13" t="s">
        <v>11</v>
      </c>
      <c r="D8" s="13" t="s">
        <v>37</v>
      </c>
      <c r="E8" s="13">
        <v>47000</v>
      </c>
      <c r="F8" s="13">
        <v>2020</v>
      </c>
      <c r="G8" s="10">
        <f t="shared" si="0"/>
        <v>4700</v>
      </c>
      <c r="H8" s="12">
        <v>0.1</v>
      </c>
      <c r="L8" t="s">
        <v>38</v>
      </c>
      <c r="M8" s="4" t="s">
        <v>39</v>
      </c>
      <c r="N8" s="4" t="s">
        <v>40</v>
      </c>
    </row>
    <row r="9" spans="1:15" ht="17.25">
      <c r="A9" s="14" t="s">
        <v>41</v>
      </c>
      <c r="B9" s="14" t="s">
        <v>42</v>
      </c>
      <c r="C9" s="14" t="s">
        <v>16</v>
      </c>
      <c r="D9" s="14" t="s">
        <v>21</v>
      </c>
      <c r="E9" s="14">
        <v>54000</v>
      </c>
      <c r="F9" s="14">
        <v>2016</v>
      </c>
      <c r="G9" s="10">
        <f t="shared" si="0"/>
        <v>4320</v>
      </c>
      <c r="H9" s="12">
        <v>0.08</v>
      </c>
      <c r="I9" t="s">
        <v>43</v>
      </c>
      <c r="J9" s="4" t="s">
        <v>44</v>
      </c>
      <c r="K9" s="4" t="s">
        <v>45</v>
      </c>
      <c r="M9" s="4" t="s">
        <v>30</v>
      </c>
      <c r="N9" s="4" t="str">
        <f>VLOOKUP(M9,A1:F9,4,0)</f>
        <v>Mumbai</v>
      </c>
    </row>
    <row r="10" spans="1:15" ht="30.75">
      <c r="J10" s="6" t="s">
        <v>10</v>
      </c>
      <c r="K10" s="4" t="e">
        <f>VLOOKUP(J10,A1:F9,5,0)</f>
        <v>#N/A</v>
      </c>
    </row>
    <row r="11" spans="1:15">
      <c r="F11" s="4" t="s">
        <v>46</v>
      </c>
      <c r="G11" s="4"/>
      <c r="J11" s="6"/>
      <c r="K11" s="4"/>
    </row>
    <row r="12" spans="1:15">
      <c r="C12" t="s">
        <v>2</v>
      </c>
      <c r="D12" t="s">
        <v>7</v>
      </c>
      <c r="F12" s="4" t="s">
        <v>28</v>
      </c>
      <c r="G12" s="4" t="s">
        <v>47</v>
      </c>
    </row>
    <row r="13" spans="1:15">
      <c r="F13" s="4" t="s">
        <v>23</v>
      </c>
      <c r="G13" s="4">
        <f>VLOOKUP(F13,A1:H9,7,0)</f>
        <v>8700</v>
      </c>
      <c r="K13" t="s">
        <v>48</v>
      </c>
      <c r="L13" s="4" t="s">
        <v>28</v>
      </c>
      <c r="M13" s="4" t="s">
        <v>49</v>
      </c>
    </row>
    <row r="14" spans="1:15">
      <c r="L14" s="4" t="s">
        <v>50</v>
      </c>
      <c r="M14" s="4" t="str">
        <f>IFERROR(VLOOKUP(L14,A1:G9,4,0),"NOT")</f>
        <v>NOT</v>
      </c>
    </row>
    <row r="16" spans="1:15">
      <c r="E16" s="9" t="s">
        <v>51</v>
      </c>
      <c r="F16" s="9"/>
      <c r="H16" s="4" t="s">
        <v>52</v>
      </c>
      <c r="I16" s="4"/>
    </row>
    <row r="17" spans="1:9">
      <c r="B17" s="4" t="s">
        <v>53</v>
      </c>
      <c r="C17" s="4" t="s">
        <v>28</v>
      </c>
      <c r="D17" s="4" t="s">
        <v>45</v>
      </c>
      <c r="E17" s="9" t="s">
        <v>54</v>
      </c>
      <c r="F17" s="9" t="s">
        <v>55</v>
      </c>
      <c r="H17" s="4" t="s">
        <v>56</v>
      </c>
      <c r="I17" s="4" t="s">
        <v>57</v>
      </c>
    </row>
    <row r="18" spans="1:9" ht="30.75">
      <c r="B18" s="4"/>
      <c r="C18" s="4" t="s">
        <v>58</v>
      </c>
      <c r="D18" s="6" t="str">
        <f>IFERROR(_xlfn.XLOOKUP(C18,A1:A9,E1:E9),"EMP NOT FOUND")</f>
        <v>EMP NOT FOUND</v>
      </c>
      <c r="E18" s="9" t="s">
        <v>42</v>
      </c>
      <c r="F18" s="9" t="str">
        <f>_xlfn.XLOOKUP(E18,B1:B9,C1:C9)</f>
        <v>HR</v>
      </c>
      <c r="H18" s="4" t="s">
        <v>19</v>
      </c>
      <c r="I18" s="4" t="str">
        <f>_xlfn.XLOOKUP(H18,B1:B9,D1:D9)</f>
        <v>Bangalore</v>
      </c>
    </row>
    <row r="19" spans="1:9">
      <c r="H19" s="4"/>
      <c r="I19" s="4"/>
    </row>
    <row r="20" spans="1:9">
      <c r="A20" s="3"/>
      <c r="B20" s="3"/>
      <c r="C20" s="3"/>
      <c r="D20" t="s">
        <v>59</v>
      </c>
      <c r="H20" s="4"/>
      <c r="I20" s="4"/>
    </row>
    <row r="22" spans="1:9">
      <c r="B22" s="4" t="s">
        <v>60</v>
      </c>
      <c r="C22" s="4"/>
      <c r="D22" s="4"/>
      <c r="E22" s="4"/>
    </row>
    <row r="23" spans="1:9">
      <c r="B23" s="4" t="s">
        <v>28</v>
      </c>
      <c r="C23" s="4" t="s">
        <v>44</v>
      </c>
      <c r="D23" s="4" t="s">
        <v>61</v>
      </c>
      <c r="E23" s="4" t="s">
        <v>49</v>
      </c>
    </row>
    <row r="24" spans="1:9">
      <c r="B24" s="4" t="s">
        <v>9</v>
      </c>
      <c r="C24" s="4" t="str">
        <f>VLOOKUP($B$24,$A$1:D9,COLUMNS($A$1:B1))</f>
        <v>Rahul Sharma</v>
      </c>
      <c r="D24" s="4" t="str">
        <f>VLOOKUP($B$24,$A$1:E9,COLUMNS($A$1:C1))</f>
        <v>Sales</v>
      </c>
      <c r="E24" s="4" t="str">
        <f>VLOOKUP($B$24,$A$1:F9,COLUMNS($A$1:D1))</f>
        <v>Mumbai</v>
      </c>
    </row>
  </sheetData>
  <mergeCells count="1">
    <mergeCell ref="A20:C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0790-5DE7-49A5-807D-73485F121BDE}">
  <dimension ref="A1:I9"/>
  <sheetViews>
    <sheetView workbookViewId="0">
      <selection activeCell="B8" sqref="B8"/>
    </sheetView>
  </sheetViews>
  <sheetFormatPr defaultRowHeight="15"/>
  <cols>
    <col min="1" max="1" width="9.7109375" bestFit="1" customWidth="1"/>
    <col min="3" max="3" width="10.140625" bestFit="1" customWidth="1"/>
    <col min="9" max="9" width="33.140625" bestFit="1" customWidth="1"/>
    <col min="14" max="14" width="31.7109375" bestFit="1" customWidth="1"/>
  </cols>
  <sheetData>
    <row r="1" spans="1:9" ht="33.75">
      <c r="A1" s="1" t="s">
        <v>2</v>
      </c>
      <c r="B1" s="1" t="s">
        <v>11</v>
      </c>
      <c r="C1" s="1" t="s">
        <v>16</v>
      </c>
      <c r="D1" s="1" t="s">
        <v>20</v>
      </c>
      <c r="E1" s="1" t="s">
        <v>25</v>
      </c>
      <c r="F1" s="1" t="s">
        <v>32</v>
      </c>
    </row>
    <row r="2" spans="1:9" ht="36">
      <c r="A2" s="1" t="s">
        <v>62</v>
      </c>
      <c r="B2" s="2">
        <v>0.1</v>
      </c>
      <c r="C2" s="2">
        <v>0.08</v>
      </c>
      <c r="D2" s="2">
        <v>0.12</v>
      </c>
      <c r="E2" s="2">
        <v>0.15</v>
      </c>
      <c r="F2" s="2">
        <v>0.09</v>
      </c>
      <c r="H2" s="4" t="s">
        <v>63</v>
      </c>
      <c r="I2" s="4"/>
    </row>
    <row r="3" spans="1:9">
      <c r="A3" t="s">
        <v>4</v>
      </c>
      <c r="B3">
        <v>50000</v>
      </c>
      <c r="C3">
        <v>25000</v>
      </c>
      <c r="D3">
        <v>45000</v>
      </c>
      <c r="E3">
        <v>38000</v>
      </c>
      <c r="F3">
        <v>70000</v>
      </c>
      <c r="H3" s="4" t="s">
        <v>64</v>
      </c>
      <c r="I3" s="4" t="s">
        <v>7</v>
      </c>
    </row>
    <row r="4" spans="1:9">
      <c r="A4" t="s">
        <v>65</v>
      </c>
      <c r="B4">
        <f>(B2*B3)</f>
        <v>5000</v>
      </c>
      <c r="C4">
        <f t="shared" ref="C4:F4" si="0">(C2*C3)</f>
        <v>2000</v>
      </c>
      <c r="D4">
        <f t="shared" si="0"/>
        <v>5400</v>
      </c>
      <c r="E4">
        <f t="shared" si="0"/>
        <v>5700</v>
      </c>
      <c r="F4">
        <f t="shared" si="0"/>
        <v>6300</v>
      </c>
      <c r="H4" s="4" t="s">
        <v>20</v>
      </c>
      <c r="I4" s="7">
        <f>IFERROR(HLOOKUP(H4,A1:F2,2,0),"NO DATA")</f>
        <v>0.12</v>
      </c>
    </row>
    <row r="5" spans="1:9">
      <c r="A5" s="4" t="s">
        <v>66</v>
      </c>
      <c r="B5" s="4" t="s">
        <v>67</v>
      </c>
      <c r="C5" s="4" t="s">
        <v>68</v>
      </c>
    </row>
    <row r="6" spans="1:9">
      <c r="A6" s="4"/>
      <c r="B6" s="4" t="s">
        <v>69</v>
      </c>
      <c r="C6" s="8" t="str">
        <f>IFERROR(HLOOKUP(B6,A1:F2,2,0),"NO DATA")</f>
        <v>NO DATA</v>
      </c>
    </row>
    <row r="8" spans="1:9">
      <c r="E8" s="4" t="s">
        <v>70</v>
      </c>
      <c r="F8" s="4" t="s">
        <v>64</v>
      </c>
      <c r="G8" s="4" t="s">
        <v>7</v>
      </c>
    </row>
    <row r="9" spans="1:9">
      <c r="E9" s="4"/>
      <c r="F9" s="4" t="s">
        <v>11</v>
      </c>
      <c r="G9" s="8">
        <f>_xlfn.XLOOKUP(F9,A1:F1,A2:F2)</f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2026-06-29T08:43:28Z</dcterms:created>
  <dcterms:modified xsi:type="dcterms:W3CDTF">2026-06-30T08:04:10Z</dcterms:modified>
  <cp:category/>
  <cp:contentStatus/>
</cp:coreProperties>
</file>