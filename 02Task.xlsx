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0" documentId="8_{44B8324E-BC2D-4DA0-87CC-DF04FA840E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8" i="1" l="1"/>
  <c r="D99" i="1"/>
  <c r="D100" i="1"/>
  <c r="D97" i="1"/>
  <c r="C86" i="1"/>
  <c r="C87" i="1"/>
  <c r="C88" i="1"/>
  <c r="C85" i="1"/>
  <c r="C74" i="1"/>
  <c r="C75" i="1"/>
  <c r="C76" i="1"/>
  <c r="C73" i="1"/>
  <c r="D62" i="1"/>
  <c r="D63" i="1"/>
  <c r="D64" i="1"/>
  <c r="D61" i="1"/>
  <c r="D52" i="1"/>
  <c r="D53" i="1"/>
  <c r="D54" i="1"/>
  <c r="D51" i="1"/>
  <c r="D43" i="1"/>
  <c r="D44" i="1"/>
  <c r="D45" i="1"/>
  <c r="D42" i="1"/>
  <c r="E34" i="1"/>
  <c r="E35" i="1"/>
  <c r="E36" i="1"/>
  <c r="E33" i="1"/>
  <c r="C27" i="1"/>
  <c r="C24" i="1"/>
  <c r="C25" i="1"/>
  <c r="C26" i="1"/>
  <c r="C23" i="1"/>
  <c r="D15" i="1"/>
  <c r="D16" i="1"/>
  <c r="D17" i="1"/>
  <c r="D14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<sst xmlns="http://schemas.openxmlformats.org/spreadsheetml/2006/main" count="115" uniqueCount="75">
  <si>
    <t>Task 1: Pass / Fail using IF</t>
  </si>
  <si>
    <t>Roll No</t>
  </si>
  <si>
    <t>Student Name</t>
  </si>
  <si>
    <t>Marks</t>
  </si>
  <si>
    <t>Result</t>
  </si>
  <si>
    <t>If Marks ≥ 40 → Pass</t>
  </si>
  <si>
    <t>Aman</t>
  </si>
  <si>
    <t>Else → Fail</t>
  </si>
  <si>
    <t>Bharti</t>
  </si>
  <si>
    <t>Rohan</t>
  </si>
  <si>
    <t>Deepa</t>
  </si>
  <si>
    <t>Farhan</t>
  </si>
  <si>
    <t>Task 2: Salary Bonus Check (IF)</t>
  </si>
  <si>
    <t>Employee Name</t>
  </si>
  <si>
    <t>Salary</t>
  </si>
  <si>
    <t>Bonus Status</t>
  </si>
  <si>
    <t>Rohit</t>
  </si>
  <si>
    <t>Salary ≥ 40000 → Bonus</t>
  </si>
  <si>
    <t>Simran</t>
  </si>
  <si>
    <t>Else → No Bonus</t>
  </si>
  <si>
    <t>Vijay</t>
  </si>
  <si>
    <t>Nisha</t>
  </si>
  <si>
    <t>Task 3: Grade Calculation (Nested IF)</t>
  </si>
  <si>
    <t>Grade</t>
  </si>
  <si>
    <t>≥ 75 → A</t>
  </si>
  <si>
    <t>≥ 60 → B</t>
  </si>
  <si>
    <t>≥ 40 → C</t>
  </si>
  <si>
    <t>&lt; 40 → Fail</t>
  </si>
  <si>
    <t>Task 4: Job Eligibility (AND)</t>
  </si>
  <si>
    <t>Name</t>
  </si>
  <si>
    <t>Age</t>
  </si>
  <si>
    <t>Experience (Years)</t>
  </si>
  <si>
    <t>Eligible</t>
  </si>
  <si>
    <t>Age ≥ 21 AND Experience ≥ 1 → Eligible</t>
  </si>
  <si>
    <t>Task 5: Exam Eligibility (AND)</t>
  </si>
  <si>
    <t>Attendance %</t>
  </si>
  <si>
    <t>Assignment Submitted</t>
  </si>
  <si>
    <t>Attendance ≥ 75 AND Assignment = Yes</t>
  </si>
  <si>
    <t>Yes</t>
  </si>
  <si>
    <t>No</t>
  </si>
  <si>
    <t>Task 6: Discount Logic (OR)</t>
  </si>
  <si>
    <t>Customer Name</t>
  </si>
  <si>
    <t>Purchase Amount</t>
  </si>
  <si>
    <t>Membership</t>
  </si>
  <si>
    <t>Discount</t>
  </si>
  <si>
    <t>Aakash</t>
  </si>
  <si>
    <t>Purchase ≥ 10000 OR Membership = Yes</t>
  </si>
  <si>
    <t>Bhavna</t>
  </si>
  <si>
    <t>Divya</t>
  </si>
  <si>
    <t>Task 7: Loan Approval (OR)</t>
  </si>
  <si>
    <t>Applicant</t>
  </si>
  <si>
    <t>CIBIL Score</t>
  </si>
  <si>
    <t>Loan Status</t>
  </si>
  <si>
    <t>Salary ≥ 40000 OR CIBIL ≥ 700</t>
  </si>
  <si>
    <t>Task</t>
  </si>
  <si>
    <t>Task 8: Attendance Status (NOT)</t>
  </si>
  <si>
    <t>Present</t>
  </si>
  <si>
    <t>Status</t>
  </si>
  <si>
    <t>If NOT Present → Absent</t>
  </si>
  <si>
    <t>Else → Present</t>
  </si>
  <si>
    <t>Task 9: Safe Division (IFERROR)</t>
  </si>
  <si>
    <t>Number 1</t>
  </si>
  <si>
    <t>Number 2</t>
  </si>
  <si>
    <t>Divide Number 1 by Number 2</t>
  </si>
  <si>
    <t>If error → show "Invalid"</t>
  </si>
  <si>
    <t>Task 10: Performance Evaluation (Combined Logic)</t>
  </si>
  <si>
    <t>Targets Achieved</t>
  </si>
  <si>
    <t>Performance</t>
  </si>
  <si>
    <t>Raj</t>
  </si>
  <si>
    <t>Attendance ≥ 90 AND Targets ≥ 40 → Excellent</t>
  </si>
  <si>
    <t>Sunita</t>
  </si>
  <si>
    <t>Attendance ≥ 80 → Good</t>
  </si>
  <si>
    <t>Manoj</t>
  </si>
  <si>
    <t>Else → Needs Improvement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</si>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</sst>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6.5"/>
      <color rgb="FFF0F6FC"/>
      <name val="Mona Sans VF"/>
      <charset val="1"/>
    </font>
    <font>
      <sz val="12"/>
      <color rgb="FFF0F6FC"/>
      <name val="Mona Sans VF"/>
      <charset val="1"/>
    </font>
    <font>
      <sz val="15"/>
      <color rgb="FFF0F6FC"/>
      <name val="Mona Sans VF"/>
      <charset val="1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>
      <selection sqref="A1:F1"/>
    </sheetView>
  </sheetViews>
  <sheetFormatPr defaultRowHeight="15"/>
  <cols>
    <col min="1" max="1" width="15.28515625" bestFit="1" customWidth="1"/>
    <col min="2" max="2" width="15.85546875" bestFit="1" customWidth="1"/>
    <col min="3" max="3" width="13.140625" bestFit="1" customWidth="1"/>
    <col min="4" max="4" width="16.85546875" customWidth="1"/>
    <col min="5" max="5" width="18.7109375" customWidth="1"/>
    <col min="9" max="9" width="15" customWidth="1"/>
  </cols>
  <sheetData>
    <row r="1" spans="1:9" ht="24" customHeight="1">
      <c r="A1" s="4" t="s">
        <v>0</v>
      </c>
      <c r="B1" s="5"/>
      <c r="C1" s="5"/>
      <c r="D1" s="5"/>
      <c r="E1" s="5"/>
      <c r="F1" s="5"/>
    </row>
    <row r="3" spans="1:9" ht="53.25">
      <c r="B3" s="1" t="s">
        <v>1</v>
      </c>
      <c r="C3" s="1" t="s">
        <v>2</v>
      </c>
      <c r="D3" s="1" t="s">
        <v>3</v>
      </c>
      <c r="E3" s="1" t="s">
        <v>4</v>
      </c>
      <c r="I3" s="9" t="s">
        <v>5</v>
      </c>
    </row>
    <row r="4" spans="1:9" ht="36">
      <c r="B4" s="1">
        <v>1</v>
      </c>
      <c r="C4" s="1" t="s">
        <v>6</v>
      </c>
      <c r="D4" s="1">
        <v>78</v>
      </c>
      <c r="E4" s="1" t="str">
        <f>IF(D4&gt;=40,"PASS","FAIL")</f>
        <v>PASS</v>
      </c>
      <c r="I4" s="9" t="s">
        <v>7</v>
      </c>
    </row>
    <row r="5" spans="1:9" ht="17.25">
      <c r="B5" s="1">
        <v>2</v>
      </c>
      <c r="C5" s="1" t="s">
        <v>8</v>
      </c>
      <c r="D5" s="1">
        <v>35</v>
      </c>
      <c r="E5" s="1" t="str">
        <f t="shared" ref="E5:E8" si="0">IF(D5&gt;=40,"PASS","FAIL")</f>
        <v>FAIL</v>
      </c>
    </row>
    <row r="6" spans="1:9" ht="17.25">
      <c r="B6" s="1">
        <v>3</v>
      </c>
      <c r="C6" s="1" t="s">
        <v>9</v>
      </c>
      <c r="D6" s="1">
        <v>62</v>
      </c>
      <c r="E6" s="1" t="str">
        <f t="shared" si="0"/>
        <v>PASS</v>
      </c>
    </row>
    <row r="7" spans="1:9" ht="17.25">
      <c r="B7" s="1">
        <v>4</v>
      </c>
      <c r="C7" s="1" t="s">
        <v>10</v>
      </c>
      <c r="D7" s="1">
        <v>40</v>
      </c>
      <c r="E7" s="1" t="str">
        <f t="shared" si="0"/>
        <v>PASS</v>
      </c>
    </row>
    <row r="8" spans="1:9" ht="17.25">
      <c r="B8" s="1">
        <v>5</v>
      </c>
      <c r="C8" s="1" t="s">
        <v>11</v>
      </c>
      <c r="D8" s="1">
        <v>28</v>
      </c>
      <c r="E8" s="1" t="str">
        <f t="shared" si="0"/>
        <v>FAIL</v>
      </c>
    </row>
    <row r="11" spans="1:9">
      <c r="A11" s="4" t="s">
        <v>12</v>
      </c>
      <c r="B11" s="5"/>
      <c r="C11" s="5"/>
      <c r="D11" s="5"/>
      <c r="E11" s="5"/>
      <c r="F11" s="5"/>
    </row>
    <row r="13" spans="1:9" ht="50.25">
      <c r="B13" s="1" t="s">
        <v>13</v>
      </c>
      <c r="C13" s="1" t="s">
        <v>14</v>
      </c>
      <c r="D13" s="1" t="s">
        <v>15</v>
      </c>
    </row>
    <row r="14" spans="1:9" ht="53.25">
      <c r="B14" s="1" t="s">
        <v>16</v>
      </c>
      <c r="C14" s="1">
        <v>28000</v>
      </c>
      <c r="D14" s="1" t="str">
        <f>IF(C14&gt;=40000,"BONUS","NO BONUS")</f>
        <v>NO BONUS</v>
      </c>
      <c r="I14" s="9" t="s">
        <v>17</v>
      </c>
    </row>
    <row r="15" spans="1:9" ht="36">
      <c r="B15" s="1" t="s">
        <v>18</v>
      </c>
      <c r="C15" s="1">
        <v>45000</v>
      </c>
      <c r="D15" s="1" t="str">
        <f t="shared" ref="D15:D17" si="1">IF(C15&gt;=40000,"BONUS","NO BONUS")</f>
        <v>BONUS</v>
      </c>
      <c r="I15" s="9" t="s">
        <v>19</v>
      </c>
    </row>
    <row r="16" spans="1:9" ht="36">
      <c r="B16" s="1" t="s">
        <v>20</v>
      </c>
      <c r="C16" s="1">
        <v>52000</v>
      </c>
      <c r="D16" s="1" t="str">
        <f t="shared" si="1"/>
        <v>BONUS</v>
      </c>
    </row>
    <row r="17" spans="1:9" ht="36">
      <c r="B17" s="1" t="s">
        <v>21</v>
      </c>
      <c r="C17" s="1">
        <v>30000</v>
      </c>
      <c r="D17" s="1" t="str">
        <f t="shared" si="1"/>
        <v>NO BONUS</v>
      </c>
    </row>
    <row r="20" spans="1:9" ht="17.25" customHeight="1">
      <c r="A20" s="4" t="s">
        <v>22</v>
      </c>
      <c r="B20" s="5"/>
      <c r="C20" s="5"/>
      <c r="D20" s="5"/>
      <c r="E20" s="5"/>
      <c r="F20" s="5"/>
      <c r="G20" s="5"/>
    </row>
    <row r="22" spans="1:9" ht="33.75">
      <c r="A22" s="1" t="s">
        <v>2</v>
      </c>
      <c r="B22" s="1" t="s">
        <v>3</v>
      </c>
      <c r="C22" s="1" t="s">
        <v>23</v>
      </c>
      <c r="I22" s="9" t="s">
        <v>24</v>
      </c>
    </row>
    <row r="23" spans="1:9" ht="141.75">
      <c r="A23" s="1" t="s">
        <v>6</v>
      </c>
      <c r="B23" s="1">
        <v>82</v>
      </c>
      <c r="C23" s="1" t="str">
        <f>IF(B23&gt;=75,"A",IF(B23&gt;=60,"B",IF(B23&gt;=40,"C","FAIL")))</f>
        <v>A</v>
      </c>
      <c r="I23" s="9" t="s">
        <v>25</v>
      </c>
    </row>
    <row r="24" spans="1:9" ht="17.25">
      <c r="A24" s="1" t="s">
        <v>8</v>
      </c>
      <c r="B24" s="1">
        <v>67</v>
      </c>
      <c r="C24" s="1" t="str">
        <f t="shared" ref="C24:C26" si="2">IF(B24&gt;=75,"A",IF(B24&gt;=60,"B",IF(B24&gt;=40,"C","FAIL")))</f>
        <v>B</v>
      </c>
      <c r="I24" s="9" t="s">
        <v>26</v>
      </c>
    </row>
    <row r="25" spans="1:9" ht="17.25">
      <c r="A25" s="1" t="s">
        <v>9</v>
      </c>
      <c r="B25" s="1">
        <v>45</v>
      </c>
      <c r="C25" s="1" t="str">
        <f t="shared" si="2"/>
        <v>C</v>
      </c>
      <c r="I25" s="9" t="s">
        <v>27</v>
      </c>
    </row>
    <row r="26" spans="1:9" ht="17.25">
      <c r="A26" s="1" t="s">
        <v>10</v>
      </c>
      <c r="B26" s="1">
        <v>33</v>
      </c>
      <c r="C26" s="1" t="str">
        <f t="shared" si="2"/>
        <v>FAIL</v>
      </c>
    </row>
    <row r="27" spans="1:9" ht="17.25">
      <c r="A27" s="1" t="s">
        <v>11</v>
      </c>
      <c r="B27" s="1">
        <v>90</v>
      </c>
      <c r="C27" s="1" t="str">
        <f>IF(B27&gt;=75,"A",IF(B27&gt;=60,"B",IF(B27&gt;=40,"C","FAIL")))</f>
        <v>A</v>
      </c>
    </row>
    <row r="30" spans="1:9">
      <c r="A30" s="4" t="s">
        <v>28</v>
      </c>
      <c r="B30" s="5"/>
      <c r="C30" s="5"/>
      <c r="D30" s="5"/>
      <c r="E30" s="5"/>
      <c r="F30" s="5"/>
    </row>
    <row r="32" spans="1:9" ht="50.25">
      <c r="B32" s="1" t="s">
        <v>29</v>
      </c>
      <c r="C32" s="1" t="s">
        <v>30</v>
      </c>
      <c r="D32" s="1" t="s">
        <v>31</v>
      </c>
      <c r="E32" s="1" t="s">
        <v>32</v>
      </c>
    </row>
    <row r="33" spans="1:9" ht="141.75">
      <c r="B33" s="1" t="s">
        <v>16</v>
      </c>
      <c r="C33" s="1">
        <v>25</v>
      </c>
      <c r="D33" s="1">
        <v>2</v>
      </c>
      <c r="E33" s="1" t="str">
        <f>IF(AND(C33&gt;=21,D33&gt;=1),"ELIGIBLE","NOT ELIGIBLE")</f>
        <v>ELIGIBLE</v>
      </c>
      <c r="I33" s="9" t="s">
        <v>33</v>
      </c>
    </row>
    <row r="34" spans="1:9" ht="36">
      <c r="B34" s="1" t="s">
        <v>18</v>
      </c>
      <c r="C34" s="1">
        <v>20</v>
      </c>
      <c r="D34" s="1">
        <v>1</v>
      </c>
      <c r="E34" s="1" t="str">
        <f t="shared" ref="E34:E36" si="3">IF(AND(C34&gt;=21,D34&gt;=1),"ELIGIBLE","NOT ELIGIBLE")</f>
        <v>NOT ELIGIBLE</v>
      </c>
    </row>
    <row r="35" spans="1:9" ht="36">
      <c r="B35" s="1" t="s">
        <v>20</v>
      </c>
      <c r="C35" s="1">
        <v>30</v>
      </c>
      <c r="D35" s="1">
        <v>5</v>
      </c>
      <c r="E35" s="1" t="str">
        <f t="shared" si="3"/>
        <v>ELIGIBLE</v>
      </c>
    </row>
    <row r="36" spans="1:9" ht="36">
      <c r="B36" s="1" t="s">
        <v>21</v>
      </c>
      <c r="C36" s="1">
        <v>22</v>
      </c>
      <c r="D36" s="1">
        <v>0</v>
      </c>
      <c r="E36" s="1" t="str">
        <f t="shared" si="3"/>
        <v>NOT ELIGIBLE</v>
      </c>
    </row>
    <row r="39" spans="1:9">
      <c r="A39" s="4" t="s">
        <v>34</v>
      </c>
      <c r="B39" s="5"/>
      <c r="C39" s="5"/>
      <c r="D39" s="5"/>
      <c r="E39" s="5"/>
      <c r="F39" s="5"/>
    </row>
    <row r="41" spans="1:9" ht="70.5">
      <c r="A41" s="1" t="s">
        <v>2</v>
      </c>
      <c r="B41" s="1" t="s">
        <v>35</v>
      </c>
      <c r="C41" s="1" t="s">
        <v>36</v>
      </c>
      <c r="D41" s="1" t="s">
        <v>32</v>
      </c>
      <c r="I41" s="9" t="s">
        <v>37</v>
      </c>
    </row>
    <row r="42" spans="1:9" ht="17.25">
      <c r="A42" s="1" t="s">
        <v>6</v>
      </c>
      <c r="B42" s="1">
        <v>85</v>
      </c>
      <c r="C42" s="1" t="s">
        <v>38</v>
      </c>
      <c r="D42" s="1" t="str">
        <f>IF(AND(B42&gt;=75,C42="Yes"),"ELIGIBLE","NOT")</f>
        <v>ELIGIBLE</v>
      </c>
    </row>
    <row r="43" spans="1:9" ht="17.25">
      <c r="A43" s="1" t="s">
        <v>8</v>
      </c>
      <c r="B43" s="1">
        <v>72</v>
      </c>
      <c r="C43" s="1" t="s">
        <v>38</v>
      </c>
      <c r="D43" s="1" t="str">
        <f t="shared" ref="D43:D45" si="4">IF(AND(B43&gt;=75,C43="Yes"),"ELIGIBLE","NOT")</f>
        <v>NOT</v>
      </c>
    </row>
    <row r="44" spans="1:9" ht="17.25">
      <c r="A44" s="1" t="s">
        <v>9</v>
      </c>
      <c r="B44" s="1">
        <v>90</v>
      </c>
      <c r="C44" s="1" t="s">
        <v>39</v>
      </c>
      <c r="D44" s="1" t="str">
        <f t="shared" si="4"/>
        <v>NOT</v>
      </c>
    </row>
    <row r="45" spans="1:9" ht="17.25">
      <c r="A45" s="1" t="s">
        <v>10</v>
      </c>
      <c r="B45" s="1">
        <v>80</v>
      </c>
      <c r="C45" s="1" t="s">
        <v>38</v>
      </c>
      <c r="D45" s="1" t="str">
        <f t="shared" si="4"/>
        <v>ELIGIBLE</v>
      </c>
    </row>
    <row r="48" spans="1:9">
      <c r="A48" s="4" t="s">
        <v>40</v>
      </c>
      <c r="B48" s="5"/>
      <c r="C48" s="5"/>
      <c r="D48" s="5"/>
      <c r="E48" s="5"/>
      <c r="F48" s="5"/>
    </row>
    <row r="50" spans="1:9" ht="66.75">
      <c r="A50" s="1" t="s">
        <v>41</v>
      </c>
      <c r="B50" s="1" t="s">
        <v>42</v>
      </c>
      <c r="C50" s="1" t="s">
        <v>43</v>
      </c>
      <c r="D50" s="1" t="s">
        <v>44</v>
      </c>
    </row>
    <row r="51" spans="1:9" ht="70.5">
      <c r="A51" s="1" t="s">
        <v>45</v>
      </c>
      <c r="B51" s="1">
        <v>9000</v>
      </c>
      <c r="C51" s="1" t="s">
        <v>39</v>
      </c>
      <c r="D51" s="1" t="str">
        <f>IF(OR(B51&gt;=10000,C51="Yes"),"DISCOUNT","NO")</f>
        <v>NO</v>
      </c>
      <c r="I51" s="9" t="s">
        <v>46</v>
      </c>
    </row>
    <row r="52" spans="1:9" ht="17.25">
      <c r="A52" s="1" t="s">
        <v>47</v>
      </c>
      <c r="B52" s="1">
        <v>12000</v>
      </c>
      <c r="C52" s="1" t="s">
        <v>39</v>
      </c>
      <c r="D52" s="1" t="str">
        <f t="shared" ref="D52:D54" si="5">IF(OR(B52&gt;=10000,C52="Yes"),"DISCOUNT","NO")</f>
        <v>DISCOUNT</v>
      </c>
    </row>
    <row r="53" spans="1:9" ht="17.25">
      <c r="A53" s="1" t="s">
        <v>9</v>
      </c>
      <c r="B53" s="1">
        <v>4000</v>
      </c>
      <c r="C53" s="1" t="s">
        <v>38</v>
      </c>
      <c r="D53" s="1" t="str">
        <f t="shared" si="5"/>
        <v>DISCOUNT</v>
      </c>
    </row>
    <row r="54" spans="1:9" ht="17.25">
      <c r="A54" s="1" t="s">
        <v>48</v>
      </c>
      <c r="B54" s="1">
        <v>3000</v>
      </c>
      <c r="C54" s="1" t="s">
        <v>39</v>
      </c>
      <c r="D54" s="1" t="str">
        <f t="shared" si="5"/>
        <v>NO</v>
      </c>
    </row>
    <row r="56" spans="1:9" ht="0.75" customHeight="1">
      <c r="A56" s="4" t="s">
        <v>49</v>
      </c>
      <c r="B56" s="5"/>
      <c r="C56" s="5"/>
      <c r="D56" s="5"/>
      <c r="E56" s="5"/>
      <c r="F56" s="5"/>
    </row>
    <row r="57" spans="1:9" ht="28.5" customHeight="1">
      <c r="A57" s="5"/>
      <c r="B57" s="5"/>
      <c r="C57" s="5"/>
      <c r="D57" s="5"/>
      <c r="E57" s="5"/>
      <c r="F57" s="5"/>
    </row>
    <row r="60" spans="1:9">
      <c r="A60" s="6" t="s">
        <v>50</v>
      </c>
      <c r="B60" s="6" t="s">
        <v>14</v>
      </c>
      <c r="C60" s="6" t="s">
        <v>51</v>
      </c>
      <c r="D60" s="6" t="s">
        <v>52</v>
      </c>
    </row>
    <row r="61" spans="1:9">
      <c r="A61" s="6" t="s">
        <v>16</v>
      </c>
      <c r="B61" s="6">
        <v>35000</v>
      </c>
      <c r="C61" s="6">
        <v>720</v>
      </c>
      <c r="D61" s="6" t="str">
        <f>IF(OR(B61&gt;=40000,C61&gt;=700),"APPROVE","NO")</f>
        <v>APPROVE</v>
      </c>
    </row>
    <row r="62" spans="1:9" ht="106.5">
      <c r="A62" s="6" t="s">
        <v>18</v>
      </c>
      <c r="B62" s="6">
        <v>25000</v>
      </c>
      <c r="C62" s="6">
        <v>680</v>
      </c>
      <c r="D62" s="6" t="str">
        <f t="shared" ref="D62:D64" si="6">IF(OR(B62&gt;=40000,C62&gt;=700),"APPROVE","NO")</f>
        <v>NO</v>
      </c>
      <c r="F62" s="9" t="s">
        <v>53</v>
      </c>
    </row>
    <row r="63" spans="1:9">
      <c r="A63" s="6" t="s">
        <v>20</v>
      </c>
      <c r="B63" s="6">
        <v>50000</v>
      </c>
      <c r="C63" s="6">
        <v>650</v>
      </c>
      <c r="D63" s="6" t="str">
        <f t="shared" si="6"/>
        <v>APPROVE</v>
      </c>
    </row>
    <row r="64" spans="1:9">
      <c r="A64" s="6" t="s">
        <v>21</v>
      </c>
      <c r="B64" s="6">
        <v>20000</v>
      </c>
      <c r="C64" s="6">
        <v>600</v>
      </c>
      <c r="D64" s="6" t="str">
        <f t="shared" si="6"/>
        <v>NO</v>
      </c>
    </row>
    <row r="65" spans="1:6" ht="21.75">
      <c r="A65" s="2" t="s">
        <v>54</v>
      </c>
    </row>
    <row r="68" spans="1:6" ht="3" customHeight="1"/>
    <row r="69" spans="1:6" ht="30" customHeight="1">
      <c r="A69" s="4" t="s">
        <v>55</v>
      </c>
      <c r="B69" s="5"/>
      <c r="C69" s="5"/>
      <c r="D69" s="5"/>
      <c r="E69" s="5"/>
      <c r="F69" s="5"/>
    </row>
    <row r="72" spans="1:6">
      <c r="A72" s="6" t="s">
        <v>29</v>
      </c>
      <c r="B72" s="6" t="s">
        <v>56</v>
      </c>
      <c r="C72" s="6" t="s">
        <v>57</v>
      </c>
    </row>
    <row r="73" spans="1:6">
      <c r="A73" s="6" t="s">
        <v>6</v>
      </c>
      <c r="B73" s="6" t="b">
        <v>1</v>
      </c>
      <c r="C73" s="6" t="str">
        <f>IF(NOT(B73),"ABSENT","PRESENT")</f>
        <v>PRESENT</v>
      </c>
    </row>
    <row r="74" spans="1:6" ht="70.5">
      <c r="A74" s="6" t="s">
        <v>8</v>
      </c>
      <c r="B74" s="6" t="b">
        <v>0</v>
      </c>
      <c r="C74" s="6" t="str">
        <f t="shared" ref="C74:C76" si="7">IF(NOT(B74),"ABSENT","PRESENT")</f>
        <v>ABSENT</v>
      </c>
      <c r="F74" s="9" t="s">
        <v>58</v>
      </c>
    </row>
    <row r="75" spans="1:6" ht="36">
      <c r="A75" s="6" t="s">
        <v>9</v>
      </c>
      <c r="B75" s="6" t="b">
        <v>1</v>
      </c>
      <c r="C75" s="6" t="str">
        <f t="shared" si="7"/>
        <v>PRESENT</v>
      </c>
      <c r="F75" s="9" t="s">
        <v>59</v>
      </c>
    </row>
    <row r="76" spans="1:6">
      <c r="A76" s="6" t="s">
        <v>10</v>
      </c>
      <c r="B76" s="6" t="b">
        <v>0</v>
      </c>
      <c r="C76" s="6" t="str">
        <f t="shared" si="7"/>
        <v>ABSENT</v>
      </c>
    </row>
    <row r="77" spans="1:6" ht="21.75">
      <c r="A77" s="2" t="s">
        <v>54</v>
      </c>
    </row>
    <row r="82" spans="1:6">
      <c r="A82" s="4" t="s">
        <v>60</v>
      </c>
      <c r="B82" s="5"/>
      <c r="C82" s="5"/>
      <c r="D82" s="5"/>
      <c r="E82" s="5"/>
      <c r="F82" s="5"/>
    </row>
    <row r="84" spans="1:6">
      <c r="A84" s="6" t="s">
        <v>61</v>
      </c>
      <c r="B84" s="6" t="s">
        <v>62</v>
      </c>
      <c r="C84" s="6" t="s">
        <v>4</v>
      </c>
    </row>
    <row r="85" spans="1:6" ht="36">
      <c r="A85" s="6">
        <v>10</v>
      </c>
      <c r="B85" s="6">
        <v>2</v>
      </c>
      <c r="C85" s="8">
        <f>IFERROR(A85/B85,"INVALID")</f>
        <v>5</v>
      </c>
      <c r="E85" s="9" t="s">
        <v>63</v>
      </c>
    </row>
    <row r="86" spans="1:6" ht="36">
      <c r="A86" s="6">
        <v>15</v>
      </c>
      <c r="B86" s="6">
        <v>0</v>
      </c>
      <c r="C86" s="8" t="str">
        <f t="shared" ref="C86:C88" si="8">IFERROR(A86/B86,"INVALID")</f>
        <v>INVALID</v>
      </c>
      <c r="E86" s="9" t="s">
        <v>64</v>
      </c>
    </row>
    <row r="87" spans="1:6">
      <c r="A87" s="6">
        <v>20</v>
      </c>
      <c r="B87" s="6">
        <v>5</v>
      </c>
      <c r="C87" s="8">
        <f t="shared" si="8"/>
        <v>4</v>
      </c>
    </row>
    <row r="88" spans="1:6">
      <c r="A88" s="6">
        <v>8</v>
      </c>
      <c r="B88" s="6">
        <v>0</v>
      </c>
      <c r="C88" s="8" t="str">
        <f t="shared" si="8"/>
        <v>INVALID</v>
      </c>
    </row>
    <row r="89" spans="1:6" ht="21.75">
      <c r="A89" s="2" t="s">
        <v>54</v>
      </c>
    </row>
    <row r="94" spans="1:6">
      <c r="A94" s="4" t="s">
        <v>65</v>
      </c>
      <c r="B94" s="5"/>
      <c r="C94" s="5"/>
      <c r="D94" s="5"/>
      <c r="E94" s="5"/>
    </row>
    <row r="96" spans="1:6">
      <c r="A96" s="6" t="s">
        <v>13</v>
      </c>
      <c r="B96" s="6" t="s">
        <v>66</v>
      </c>
      <c r="C96" s="6" t="s">
        <v>35</v>
      </c>
      <c r="D96" s="7" t="s">
        <v>67</v>
      </c>
    </row>
    <row r="97" spans="1:6" ht="124.5">
      <c r="A97" s="6" t="s">
        <v>68</v>
      </c>
      <c r="B97" s="6">
        <v>45</v>
      </c>
      <c r="C97" s="6">
        <v>92</v>
      </c>
      <c r="D97" s="7" t="str">
        <f>IF(AND(B97&gt;=40,C97&gt;=90),"EXCELLENT",IF(C97&gt;=80,"GOOD","NEED IMPROVE"))</f>
        <v>EXCELLENT</v>
      </c>
      <c r="F97" s="9" t="s">
        <v>69</v>
      </c>
    </row>
    <row r="98" spans="1:6" ht="70.5">
      <c r="A98" s="6" t="s">
        <v>70</v>
      </c>
      <c r="B98" s="6">
        <v>38</v>
      </c>
      <c r="C98" s="6">
        <v>85</v>
      </c>
      <c r="D98" s="7" t="str">
        <f t="shared" ref="D98:D100" si="9">IF(AND(B98&gt;=40,C98&gt;=90),"EXCELLENT",IF(C98&gt;=80,"GOOD","NEED IMPROVE"))</f>
        <v>GOOD</v>
      </c>
      <c r="F98" s="9" t="s">
        <v>71</v>
      </c>
    </row>
    <row r="99" spans="1:6" ht="70.5">
      <c r="A99" s="6" t="s">
        <v>72</v>
      </c>
      <c r="B99" s="6">
        <v>50</v>
      </c>
      <c r="C99" s="6">
        <v>95</v>
      </c>
      <c r="D99" s="7" t="str">
        <f t="shared" si="9"/>
        <v>EXCELLENT</v>
      </c>
      <c r="F99" s="9" t="s">
        <v>73</v>
      </c>
    </row>
    <row r="100" spans="1:6">
      <c r="A100" s="6" t="s">
        <v>74</v>
      </c>
      <c r="B100" s="6">
        <v>30</v>
      </c>
      <c r="C100" s="6">
        <v>70</v>
      </c>
      <c r="D100" s="7" t="str">
        <f t="shared" si="9"/>
        <v>NEED IMPROVE</v>
      </c>
    </row>
    <row r="101" spans="1:6" ht="21.75">
      <c r="A101" s="2" t="s">
        <v>54</v>
      </c>
      <c r="D101" s="3"/>
    </row>
    <row r="102" spans="1:6">
      <c r="D102" s="3"/>
    </row>
    <row r="103" spans="1:6">
      <c r="D103" s="3"/>
    </row>
    <row r="104" spans="1:6">
      <c r="D104" s="3"/>
    </row>
    <row r="105" spans="1:6">
      <c r="D105" s="3"/>
    </row>
  </sheetData>
  <mergeCells count="10">
    <mergeCell ref="A56:F57"/>
    <mergeCell ref="A69:F69"/>
    <mergeCell ref="A82:F82"/>
    <mergeCell ref="A94:E94"/>
    <mergeCell ref="A1:F1"/>
    <mergeCell ref="A11:F11"/>
    <mergeCell ref="A20:G20"/>
    <mergeCell ref="A30:F30"/>
    <mergeCell ref="A39:F39"/>
    <mergeCell ref="A48:F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2026-06-24T09:47:04Z</dcterms:created>
  <dcterms:modified xsi:type="dcterms:W3CDTF">2026-06-24T11:11:51Z</dcterms:modified>
  <cp:category/>
  <cp:contentStatus/>
</cp:coreProperties>
</file>